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tcousin5\Downloads\"/>
    </mc:Choice>
  </mc:AlternateContent>
  <xr:revisionPtr revIDLastSave="0" documentId="8_{D2507C2C-542D-4732-8B67-CFE9AF35A29F}" xr6:coauthVersionLast="47" xr6:coauthVersionMax="47" xr10:uidLastSave="{00000000-0000-0000-0000-000000000000}"/>
  <bookViews>
    <workbookView xWindow="0" yWindow="0" windowWidth="21570" windowHeight="7980" xr2:uid="{5B110E5C-B7BF-4335-860D-842C7CBF43CA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D28" i="1"/>
  <c r="B31" i="1"/>
  <c r="B29" i="1"/>
  <c r="B30" i="1"/>
  <c r="B26" i="1"/>
  <c r="B25" i="1"/>
  <c r="B24" i="1"/>
  <c r="B22" i="1"/>
  <c r="B16" i="1"/>
  <c r="B15" i="1"/>
  <c r="B14" i="1"/>
  <c r="B12" i="1"/>
  <c r="B11" i="1"/>
  <c r="B9" i="1"/>
  <c r="B8" i="1"/>
  <c r="B28" i="1" l="1"/>
</calcChain>
</file>

<file path=xl/sharedStrings.xml><?xml version="1.0" encoding="utf-8"?>
<sst xmlns="http://schemas.openxmlformats.org/spreadsheetml/2006/main" count="72" uniqueCount="50">
  <si>
    <t>BILAN</t>
  </si>
  <si>
    <t>ACTIF</t>
  </si>
  <si>
    <t>PASSIF</t>
  </si>
  <si>
    <t>Variation</t>
  </si>
  <si>
    <t>(en Euros)</t>
  </si>
  <si>
    <t>2017/2015</t>
  </si>
  <si>
    <t>2017/2014</t>
  </si>
  <si>
    <t>(en %)</t>
  </si>
  <si>
    <t>Actif immobilisé net</t>
  </si>
  <si>
    <t>Capitaux propres</t>
  </si>
  <si>
    <t>Immos incorporelles</t>
  </si>
  <si>
    <t>Autres fonds propres</t>
  </si>
  <si>
    <t>Immos corporelles</t>
  </si>
  <si>
    <t>Provisions risques &amp; charges</t>
  </si>
  <si>
    <t>Immos financières</t>
  </si>
  <si>
    <t>Dotations aux amortissements</t>
  </si>
  <si>
    <t>Actif circulant net</t>
  </si>
  <si>
    <t>Dettes</t>
  </si>
  <si>
    <t>Stocks et en-cours nets</t>
  </si>
  <si>
    <t>Dettes fournisseurs</t>
  </si>
  <si>
    <t>Avances et acomptes nets</t>
  </si>
  <si>
    <t>Créances nettes</t>
  </si>
  <si>
    <t>Placement et disponibilités</t>
  </si>
  <si>
    <t>TOTAL ACTIF</t>
  </si>
  <si>
    <t>TOTAL PASSIF</t>
  </si>
  <si>
    <t>COMPTE DE RÉSULTAT</t>
  </si>
  <si>
    <t>Forme juridique</t>
  </si>
  <si>
    <t>Activité</t>
  </si>
  <si>
    <t>Type</t>
  </si>
  <si>
    <t>Chiffre d'affaires</t>
  </si>
  <si>
    <t>Nombre d'établissements</t>
  </si>
  <si>
    <t>SIREN</t>
  </si>
  <si>
    <t>Produit d'exploitation</t>
  </si>
  <si>
    <t>Immatriculation</t>
  </si>
  <si>
    <t>Charges d'exploitation</t>
  </si>
  <si>
    <t>Création</t>
  </si>
  <si>
    <t>Résultat d'exploitation</t>
  </si>
  <si>
    <t>Capital</t>
  </si>
  <si>
    <t>Produits financiers</t>
  </si>
  <si>
    <t>Charges financières</t>
  </si>
  <si>
    <t>Résultat financier</t>
  </si>
  <si>
    <t>RESULTAT NET</t>
  </si>
  <si>
    <t>CALCUL DES INDICATEURS</t>
  </si>
  <si>
    <t> Indicateur et formule</t>
  </si>
  <si>
    <t>Rentabilité économique = Résultat Exploitation / Chiffre d'affaires * 100</t>
  </si>
  <si>
    <t>Capacité d'autofinancement CAF = Résultat net + Dotations financières - Reprises</t>
  </si>
  <si>
    <t>Ratio CAF = CAF / CA * 100</t>
  </si>
  <si>
    <t>BFR = Stocks + Créances clients - Dettes fournisseurs</t>
  </si>
  <si>
    <t>Ratio BFR = BFR / CA * 100</t>
  </si>
  <si>
    <t>Taux d'endettement =  Dettes / capitaux propres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</si>
</sst>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44" formatCode="_-* #,##0.00\ &quot;€&quot;_-;\-* #,##0.00\ &quot;€&quot;_-;_-* &quot;-&quot;??\ &quot;€&quot;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4"/>
      <color theme="3"/>
      <name val="Aptos Display"/>
      <family val="2"/>
      <scheme val="major"/>
    </font>
    <font>
      <b/>
      <i/>
      <sz val="11"/>
      <color rgb="FF000000"/>
      <name val="Arial Nova Cond Light"/>
      <family val="2"/>
    </font>
    <font>
      <sz val="10"/>
      <color rgb="FF000000"/>
      <name val="Aptos Narrow"/>
      <family val="2"/>
    </font>
    <font>
      <i/>
      <sz val="10"/>
      <color rgb="FF000000"/>
      <name val="Aptos Narrow"/>
      <family val="2"/>
    </font>
    <font>
      <sz val="11"/>
      <color theme="1"/>
      <name val="Arial Nova Cond Light"/>
      <family val="2"/>
    </font>
    <font>
      <b/>
      <sz val="11"/>
      <color theme="1"/>
      <name val="Arial Nova Cond Light"/>
      <family val="2"/>
    </font>
    <font>
      <b/>
      <sz val="11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</cellStyleXfs>
  <cellXfs count="57"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44" fontId="6" fillId="5" borderId="1" xfId="1" applyFont="1" applyFill="1" applyBorder="1" applyAlignment="1">
      <alignment horizontal="right" vertical="center" wrapText="1"/>
    </xf>
    <xf numFmtId="44" fontId="5" fillId="0" borderId="1" xfId="1" applyFont="1" applyBorder="1" applyAlignment="1">
      <alignment horizontal="right" vertical="center" wrapText="1"/>
    </xf>
    <xf numFmtId="0" fontId="6" fillId="6" borderId="1" xfId="0" applyFont="1" applyFill="1" applyBorder="1" applyAlignment="1">
      <alignment vertical="center" wrapText="1"/>
    </xf>
    <xf numFmtId="44" fontId="6" fillId="6" borderId="1" xfId="1" applyFont="1" applyFill="1" applyBorder="1" applyAlignment="1">
      <alignment horizontal="right" vertical="center" wrapText="1"/>
    </xf>
    <xf numFmtId="44" fontId="6" fillId="5" borderId="1" xfId="1" applyFont="1" applyFill="1" applyBorder="1" applyAlignment="1">
      <alignment vertical="center" wrapText="1"/>
    </xf>
    <xf numFmtId="44" fontId="5" fillId="0" borderId="1" xfId="1" applyFont="1" applyBorder="1" applyAlignment="1">
      <alignment vertical="center" wrapText="1"/>
    </xf>
    <xf numFmtId="0" fontId="0" fillId="0" borderId="1" xfId="0" applyBorder="1"/>
    <xf numFmtId="44" fontId="0" fillId="0" borderId="1" xfId="1" applyFont="1" applyBorder="1"/>
    <xf numFmtId="0" fontId="8" fillId="0" borderId="0" xfId="3" applyFont="1" applyAlignment="1">
      <alignment horizontal="center"/>
    </xf>
    <xf numFmtId="0" fontId="6" fillId="7" borderId="1" xfId="0" applyFont="1" applyFill="1" applyBorder="1" applyAlignment="1">
      <alignment vertical="center" wrapText="1"/>
    </xf>
    <xf numFmtId="44" fontId="6" fillId="7" borderId="1" xfId="1" applyFont="1" applyFill="1" applyBorder="1" applyAlignment="1">
      <alignment vertical="center" wrapText="1"/>
    </xf>
    <xf numFmtId="0" fontId="3" fillId="5" borderId="1" xfId="0" applyFont="1" applyFill="1" applyBorder="1"/>
    <xf numFmtId="44" fontId="3" fillId="5" borderId="1" xfId="1" applyFont="1" applyFill="1" applyBorder="1"/>
    <xf numFmtId="0" fontId="4" fillId="4" borderId="1" xfId="6" applyBorder="1"/>
    <xf numFmtId="44" fontId="4" fillId="4" borderId="1" xfId="6" applyNumberFormat="1" applyBorder="1"/>
    <xf numFmtId="9" fontId="4" fillId="4" borderId="1" xfId="6" applyNumberFormat="1" applyBorder="1"/>
    <xf numFmtId="0" fontId="3" fillId="8" borderId="1" xfId="0" applyFont="1" applyFill="1" applyBorder="1"/>
    <xf numFmtId="44" fontId="3" fillId="8" borderId="1" xfId="1" applyFont="1" applyFill="1" applyBorder="1"/>
    <xf numFmtId="10" fontId="3" fillId="5" borderId="1" xfId="2" applyNumberFormat="1" applyFont="1" applyFill="1" applyBorder="1"/>
    <xf numFmtId="10" fontId="0" fillId="0" borderId="1" xfId="2" applyNumberFormat="1" applyFont="1" applyBorder="1"/>
    <xf numFmtId="10" fontId="3" fillId="8" borderId="1" xfId="2" applyNumberFormat="1" applyFont="1" applyFill="1" applyBorder="1"/>
    <xf numFmtId="10" fontId="3" fillId="6" borderId="1" xfId="2" applyNumberFormat="1" applyFont="1" applyFill="1" applyBorder="1"/>
    <xf numFmtId="10" fontId="6" fillId="5" borderId="1" xfId="2" applyNumberFormat="1" applyFont="1" applyFill="1" applyBorder="1" applyAlignment="1">
      <alignment vertical="center" wrapText="1"/>
    </xf>
    <xf numFmtId="10" fontId="5" fillId="0" borderId="1" xfId="1" applyNumberFormat="1" applyFont="1" applyBorder="1" applyAlignment="1">
      <alignment vertical="center" wrapText="1"/>
    </xf>
    <xf numFmtId="10" fontId="0" fillId="0" borderId="1" xfId="1" applyNumberFormat="1" applyFont="1" applyBorder="1"/>
    <xf numFmtId="10" fontId="0" fillId="0" borderId="1" xfId="0" applyNumberFormat="1" applyBorder="1"/>
    <xf numFmtId="10" fontId="6" fillId="7" borderId="1" xfId="2" applyNumberFormat="1" applyFont="1" applyFill="1" applyBorder="1" applyAlignment="1">
      <alignment vertical="center" wrapText="1"/>
    </xf>
    <xf numFmtId="0" fontId="2" fillId="0" borderId="0" xfId="3" applyAlignment="1"/>
    <xf numFmtId="0" fontId="9" fillId="9" borderId="3" xfId="0" applyFont="1" applyFill="1" applyBorder="1" applyAlignment="1">
      <alignment horizontal="center" vertical="center" wrapText="1"/>
    </xf>
    <xf numFmtId="9" fontId="10" fillId="0" borderId="1" xfId="0" applyNumberFormat="1" applyFont="1" applyBorder="1" applyAlignment="1">
      <alignment horizontal="right" vertical="center"/>
    </xf>
    <xf numFmtId="8" fontId="11" fillId="10" borderId="1" xfId="0" applyNumberFormat="1" applyFont="1" applyFill="1" applyBorder="1" applyAlignment="1">
      <alignment horizontal="right" vertical="center"/>
    </xf>
    <xf numFmtId="10" fontId="10" fillId="0" borderId="1" xfId="0" applyNumberFormat="1" applyFont="1" applyBorder="1" applyAlignment="1">
      <alignment horizontal="right" vertical="center"/>
    </xf>
    <xf numFmtId="8" fontId="10" fillId="10" borderId="1" xfId="0" applyNumberFormat="1" applyFont="1" applyFill="1" applyBorder="1" applyAlignment="1">
      <alignment vertical="center"/>
    </xf>
    <xf numFmtId="10" fontId="10" fillId="10" borderId="1" xfId="0" applyNumberFormat="1" applyFont="1" applyFill="1" applyBorder="1" applyAlignment="1">
      <alignment horizontal="right" vertical="center"/>
    </xf>
    <xf numFmtId="0" fontId="9" fillId="9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4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4" fillId="0" borderId="1" xfId="0" quotePrefix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11" borderId="1" xfId="0" quotePrefix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2" fillId="0" borderId="0" xfId="3" applyAlignment="1">
      <alignment horizontal="center"/>
    </xf>
    <xf numFmtId="0" fontId="7" fillId="3" borderId="1" xfId="5" applyFont="1" applyBorder="1" applyAlignment="1">
      <alignment horizontal="center"/>
    </xf>
    <xf numFmtId="0" fontId="7" fillId="2" borderId="1" xfId="4" applyFont="1" applyBorder="1" applyAlignment="1">
      <alignment horizontal="center"/>
    </xf>
    <xf numFmtId="0" fontId="2" fillId="0" borderId="2" xfId="3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</cellXfs>
  <cellStyles count="7">
    <cellStyle name="20 % - Accent2" xfId="4" builtinId="34"/>
    <cellStyle name="20 % - Accent3" xfId="5" builtinId="38"/>
    <cellStyle name="Accent5" xfId="6" builtinId="45"/>
    <cellStyle name="Monétaire" xfId="1" builtinId="4"/>
    <cellStyle name="Normal" xfId="0" builtinId="0"/>
    <cellStyle name="Pourcentage" xfId="2" builtinId="5"/>
    <cellStyle name="Titre" xfId="3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167640</xdr:rowOff>
    </xdr:from>
    <xdr:to>
      <xdr:col>13</xdr:col>
      <xdr:colOff>28575</xdr:colOff>
      <xdr:row>90</xdr:row>
      <xdr:rowOff>95250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D98CB847-176B-C821-9F03-3C99E14ECF2A}"/>
            </a:ext>
          </a:extLst>
        </xdr:cNvPr>
        <xdr:cNvSpPr txBox="1"/>
      </xdr:nvSpPr>
      <xdr:spPr>
        <a:xfrm>
          <a:off x="0" y="7578090"/>
          <a:ext cx="15773400" cy="8976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/>
            <a:t>ANALYSE</a:t>
          </a:r>
          <a:r>
            <a:rPr lang="fr-FR" sz="1100" b="1" baseline="0"/>
            <a:t> DES RÉSULTATS</a:t>
          </a:r>
        </a:p>
        <a:p>
          <a:endParaRPr lang="fr-FR" sz="1100" b="0">
            <a:solidFill>
              <a:schemeClr val="tx1"/>
            </a:solidFill>
          </a:endParaRPr>
        </a:p>
        <a:p>
          <a:endParaRPr lang="fr-FR" sz="1100" b="0">
            <a:solidFill>
              <a:schemeClr val="tx1"/>
            </a:solidFill>
          </a:endParaRPr>
        </a:p>
        <a:p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5F83E-86A4-4F3F-8036-DAB274EF3AF8}">
  <dimension ref="A1:M40"/>
  <sheetViews>
    <sheetView tabSelected="1" topLeftCell="A14" workbookViewId="0">
      <selection activeCell="L30" sqref="L30"/>
    </sheetView>
  </sheetViews>
  <sheetFormatPr defaultColWidth="11.42578125" defaultRowHeight="14.25"/>
  <cols>
    <col min="1" max="1" width="30.7109375" customWidth="1"/>
    <col min="2" max="6" width="15.7109375" customWidth="1"/>
    <col min="8" max="8" width="28.85546875" customWidth="1"/>
    <col min="9" max="13" width="15.7109375" customWidth="1"/>
  </cols>
  <sheetData>
    <row r="1" spans="1:13" ht="23.2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ht="18">
      <c r="A2" s="51" t="s">
        <v>1</v>
      </c>
      <c r="B2" s="51"/>
      <c r="C2" s="51"/>
      <c r="D2" s="51"/>
      <c r="E2" s="51"/>
      <c r="F2" s="51"/>
      <c r="G2" s="12"/>
      <c r="H2" s="52" t="s">
        <v>2</v>
      </c>
      <c r="I2" s="52"/>
      <c r="J2" s="52"/>
      <c r="K2" s="52"/>
      <c r="L2" s="52"/>
      <c r="M2" s="52"/>
    </row>
    <row r="3" spans="1:13" ht="15">
      <c r="A3" s="49"/>
      <c r="B3" s="1">
        <v>2017</v>
      </c>
      <c r="C3" s="1">
        <v>2015</v>
      </c>
      <c r="D3" s="1">
        <v>2014</v>
      </c>
      <c r="E3" s="1" t="s">
        <v>3</v>
      </c>
      <c r="F3" s="1" t="s">
        <v>3</v>
      </c>
      <c r="H3" s="49"/>
      <c r="I3" s="1">
        <v>2017</v>
      </c>
      <c r="J3" s="1">
        <v>2015</v>
      </c>
      <c r="K3" s="1">
        <v>2014</v>
      </c>
      <c r="L3" s="1" t="s">
        <v>3</v>
      </c>
      <c r="M3" s="1" t="s">
        <v>3</v>
      </c>
    </row>
    <row r="4" spans="1:13" ht="15">
      <c r="A4" s="49"/>
      <c r="B4" s="1" t="s">
        <v>4</v>
      </c>
      <c r="C4" s="1" t="s">
        <v>4</v>
      </c>
      <c r="D4" s="1" t="s">
        <v>4</v>
      </c>
      <c r="E4" s="1" t="s">
        <v>5</v>
      </c>
      <c r="F4" s="1" t="s">
        <v>6</v>
      </c>
      <c r="H4" s="49"/>
      <c r="I4" s="1" t="s">
        <v>4</v>
      </c>
      <c r="J4" s="1" t="s">
        <v>4</v>
      </c>
      <c r="K4" s="1" t="s">
        <v>4</v>
      </c>
      <c r="L4" s="1" t="s">
        <v>5</v>
      </c>
      <c r="M4" s="1" t="s">
        <v>6</v>
      </c>
    </row>
    <row r="5" spans="1:13" ht="15">
      <c r="A5" s="49"/>
      <c r="B5" s="2"/>
      <c r="C5" s="2"/>
      <c r="D5" s="2"/>
      <c r="E5" s="1" t="s">
        <v>7</v>
      </c>
      <c r="F5" s="1" t="s">
        <v>7</v>
      </c>
      <c r="H5" s="49"/>
      <c r="I5" s="2"/>
      <c r="J5" s="2"/>
      <c r="K5" s="2"/>
      <c r="L5" s="1" t="s">
        <v>7</v>
      </c>
      <c r="M5" s="1" t="s">
        <v>7</v>
      </c>
    </row>
    <row r="6" spans="1:13" ht="15">
      <c r="A6" s="3" t="s">
        <v>8</v>
      </c>
      <c r="B6" s="4">
        <v>78000</v>
      </c>
      <c r="C6" s="4">
        <v>45337</v>
      </c>
      <c r="D6" s="4">
        <v>41709</v>
      </c>
      <c r="E6" s="22"/>
      <c r="F6" s="22"/>
      <c r="H6" s="3" t="s">
        <v>9</v>
      </c>
      <c r="I6" s="8">
        <v>172000</v>
      </c>
      <c r="J6" s="8">
        <v>150552</v>
      </c>
      <c r="K6" s="8">
        <v>117775</v>
      </c>
      <c r="L6" s="26"/>
      <c r="M6" s="26"/>
    </row>
    <row r="7" spans="1:13" ht="15">
      <c r="A7" s="40" t="s">
        <v>10</v>
      </c>
      <c r="B7" s="5">
        <v>39000</v>
      </c>
      <c r="C7" s="5">
        <v>38112</v>
      </c>
      <c r="D7" s="5">
        <v>38112</v>
      </c>
      <c r="E7" s="23"/>
      <c r="F7" s="23"/>
      <c r="H7" s="40" t="s">
        <v>11</v>
      </c>
      <c r="I7" s="9">
        <v>0</v>
      </c>
      <c r="J7" s="9">
        <v>0</v>
      </c>
      <c r="K7" s="9">
        <v>0</v>
      </c>
      <c r="L7" s="27"/>
      <c r="M7" s="27"/>
    </row>
    <row r="8" spans="1:13" ht="15">
      <c r="A8" s="40" t="s">
        <v>12</v>
      </c>
      <c r="B8" s="5">
        <f>36*1000</f>
        <v>36000</v>
      </c>
      <c r="C8" s="5">
        <v>4063</v>
      </c>
      <c r="D8" s="5">
        <v>2835</v>
      </c>
      <c r="E8" s="23"/>
      <c r="F8" s="23"/>
      <c r="H8" s="40" t="s">
        <v>13</v>
      </c>
      <c r="I8" s="9">
        <v>0</v>
      </c>
      <c r="J8" s="9">
        <v>0</v>
      </c>
      <c r="K8" s="9">
        <v>0</v>
      </c>
      <c r="L8" s="27"/>
      <c r="M8" s="27"/>
    </row>
    <row r="9" spans="1:13" ht="15">
      <c r="A9" s="40" t="s">
        <v>14</v>
      </c>
      <c r="B9" s="5">
        <f>3*1000</f>
        <v>3000</v>
      </c>
      <c r="C9" s="5">
        <v>3162</v>
      </c>
      <c r="D9" s="5">
        <v>762</v>
      </c>
      <c r="E9" s="23"/>
      <c r="F9" s="23"/>
      <c r="H9" s="10"/>
      <c r="I9" s="11"/>
      <c r="J9" s="11"/>
      <c r="K9" s="11"/>
      <c r="L9" s="28"/>
      <c r="M9" s="28"/>
    </row>
    <row r="10" spans="1:13" ht="15">
      <c r="A10" s="40" t="s">
        <v>15</v>
      </c>
      <c r="B10" s="5">
        <v>10000</v>
      </c>
      <c r="C10" s="5">
        <v>8000</v>
      </c>
      <c r="D10" s="5">
        <v>7000</v>
      </c>
      <c r="E10" s="23"/>
      <c r="F10" s="23"/>
      <c r="H10" s="10"/>
      <c r="I10" s="11"/>
      <c r="J10" s="11"/>
      <c r="K10" s="11"/>
      <c r="L10" s="28"/>
      <c r="M10" s="28"/>
    </row>
    <row r="11" spans="1:13" ht="15">
      <c r="A11" s="3" t="s">
        <v>16</v>
      </c>
      <c r="B11" s="4">
        <f>284*1000</f>
        <v>284000</v>
      </c>
      <c r="C11" s="4">
        <v>242105</v>
      </c>
      <c r="D11" s="4">
        <v>202971</v>
      </c>
      <c r="E11" s="22"/>
      <c r="F11" s="22"/>
      <c r="H11" s="3" t="s">
        <v>17</v>
      </c>
      <c r="I11" s="8">
        <v>190000</v>
      </c>
      <c r="J11" s="8">
        <v>136890</v>
      </c>
      <c r="K11" s="8">
        <v>126904</v>
      </c>
      <c r="L11" s="26"/>
      <c r="M11" s="26"/>
    </row>
    <row r="12" spans="1:13" ht="15">
      <c r="A12" s="40" t="s">
        <v>18</v>
      </c>
      <c r="B12" s="5">
        <f>25*1000</f>
        <v>25000</v>
      </c>
      <c r="C12" s="5">
        <v>42445</v>
      </c>
      <c r="D12" s="5">
        <v>44983</v>
      </c>
      <c r="E12" s="23"/>
      <c r="F12" s="23"/>
      <c r="H12" s="10" t="s">
        <v>19</v>
      </c>
      <c r="I12" s="11">
        <v>65000</v>
      </c>
      <c r="J12" s="11">
        <v>55000</v>
      </c>
      <c r="K12" s="11">
        <v>60000</v>
      </c>
      <c r="L12" s="29"/>
      <c r="M12" s="29"/>
    </row>
    <row r="13" spans="1:13" ht="15">
      <c r="A13" s="40" t="s">
        <v>20</v>
      </c>
      <c r="B13" s="5">
        <v>0</v>
      </c>
      <c r="C13" s="5">
        <v>0</v>
      </c>
      <c r="D13" s="5">
        <v>0</v>
      </c>
      <c r="E13" s="23"/>
      <c r="F13" s="23"/>
      <c r="H13" s="10"/>
      <c r="I13" s="11"/>
      <c r="J13" s="11"/>
      <c r="K13" s="11"/>
      <c r="L13" s="28"/>
      <c r="M13" s="28"/>
    </row>
    <row r="14" spans="1:13" ht="15">
      <c r="A14" s="40" t="s">
        <v>21</v>
      </c>
      <c r="B14" s="5">
        <f>144*1000</f>
        <v>144000</v>
      </c>
      <c r="C14" s="5">
        <v>104282</v>
      </c>
      <c r="D14" s="5">
        <v>152283</v>
      </c>
      <c r="E14" s="23"/>
      <c r="F14" s="23"/>
      <c r="H14" s="10"/>
      <c r="I14" s="11"/>
      <c r="J14" s="11"/>
      <c r="K14" s="11"/>
      <c r="L14" s="28"/>
      <c r="M14" s="28"/>
    </row>
    <row r="15" spans="1:13" ht="15">
      <c r="A15" s="40" t="s">
        <v>22</v>
      </c>
      <c r="B15" s="5">
        <f>115*1000</f>
        <v>115000</v>
      </c>
      <c r="C15" s="5">
        <v>95378</v>
      </c>
      <c r="D15" s="5">
        <v>5705</v>
      </c>
      <c r="E15" s="23"/>
      <c r="F15" s="23"/>
      <c r="H15" s="10"/>
      <c r="I15" s="11"/>
      <c r="J15" s="11"/>
      <c r="K15" s="11"/>
      <c r="L15" s="28"/>
      <c r="M15" s="28"/>
    </row>
    <row r="16" spans="1:13" ht="15">
      <c r="A16" s="6" t="s">
        <v>23</v>
      </c>
      <c r="B16" s="7">
        <f>362*1000</f>
        <v>362000</v>
      </c>
      <c r="C16" s="7">
        <v>287441</v>
      </c>
      <c r="D16" s="7">
        <v>244678</v>
      </c>
      <c r="E16" s="25"/>
      <c r="F16" s="25"/>
      <c r="H16" s="13" t="s">
        <v>24</v>
      </c>
      <c r="I16" s="14">
        <v>362000</v>
      </c>
      <c r="J16" s="14">
        <v>287441</v>
      </c>
      <c r="K16" s="14">
        <v>244682</v>
      </c>
      <c r="L16" s="30"/>
      <c r="M16" s="30"/>
    </row>
    <row r="18" spans="1:13" ht="23.25">
      <c r="A18" s="53" t="s">
        <v>25</v>
      </c>
      <c r="B18" s="53"/>
      <c r="C18" s="53"/>
      <c r="D18" s="53"/>
      <c r="E18" s="53"/>
      <c r="F18" s="53"/>
      <c r="G18" s="31"/>
      <c r="H18" s="31"/>
      <c r="I18" s="31"/>
      <c r="J18" s="31"/>
      <c r="K18" s="31"/>
      <c r="L18" s="31"/>
      <c r="M18" s="31"/>
    </row>
    <row r="19" spans="1:13" ht="15">
      <c r="A19" s="49"/>
      <c r="B19" s="1">
        <v>2017</v>
      </c>
      <c r="C19" s="1">
        <v>2015</v>
      </c>
      <c r="D19" s="1">
        <v>2014</v>
      </c>
      <c r="E19" s="1" t="s">
        <v>3</v>
      </c>
      <c r="F19" s="1" t="s">
        <v>3</v>
      </c>
      <c r="H19" s="39" t="s">
        <v>26</v>
      </c>
      <c r="I19" s="54"/>
      <c r="J19" s="54"/>
      <c r="K19" s="54"/>
      <c r="L19" s="54"/>
      <c r="M19" s="54"/>
    </row>
    <row r="20" spans="1:13" ht="15">
      <c r="A20" s="49"/>
      <c r="B20" s="1" t="s">
        <v>4</v>
      </c>
      <c r="C20" s="1" t="s">
        <v>4</v>
      </c>
      <c r="D20" s="1" t="s">
        <v>4</v>
      </c>
      <c r="E20" s="1" t="s">
        <v>5</v>
      </c>
      <c r="F20" s="1" t="s">
        <v>6</v>
      </c>
      <c r="H20" s="39" t="s">
        <v>27</v>
      </c>
      <c r="I20" s="54"/>
      <c r="J20" s="54"/>
      <c r="K20" s="54"/>
      <c r="L20" s="54"/>
      <c r="M20" s="54"/>
    </row>
    <row r="21" spans="1:13" ht="15">
      <c r="A21" s="49"/>
      <c r="B21" s="2"/>
      <c r="C21" s="2"/>
      <c r="D21" s="2"/>
      <c r="E21" s="1" t="s">
        <v>7</v>
      </c>
      <c r="F21" s="1" t="s">
        <v>7</v>
      </c>
      <c r="H21" s="39" t="s">
        <v>28</v>
      </c>
      <c r="I21" s="54"/>
      <c r="J21" s="54"/>
      <c r="K21" s="54"/>
      <c r="L21" s="54"/>
      <c r="M21" s="54"/>
    </row>
    <row r="22" spans="1:13" ht="15">
      <c r="A22" s="15" t="s">
        <v>29</v>
      </c>
      <c r="B22" s="16">
        <f>1062*1000</f>
        <v>1062000</v>
      </c>
      <c r="C22" s="16">
        <v>821296</v>
      </c>
      <c r="D22" s="16">
        <v>747914</v>
      </c>
      <c r="E22" s="22"/>
      <c r="F22" s="22"/>
      <c r="H22" s="39" t="s">
        <v>30</v>
      </c>
      <c r="I22" s="54"/>
      <c r="J22" s="54"/>
      <c r="K22" s="54"/>
      <c r="L22" s="54"/>
      <c r="M22" s="54"/>
    </row>
    <row r="23" spans="1:13">
      <c r="A23" s="10"/>
      <c r="B23" s="11"/>
      <c r="C23" s="11"/>
      <c r="D23" s="11"/>
      <c r="E23" s="23"/>
      <c r="F23" s="23"/>
      <c r="H23" s="39" t="s">
        <v>31</v>
      </c>
      <c r="I23" s="55"/>
      <c r="J23" s="55"/>
      <c r="K23" s="55"/>
      <c r="L23" s="55"/>
      <c r="M23" s="55"/>
    </row>
    <row r="24" spans="1:13">
      <c r="A24" s="10" t="s">
        <v>32</v>
      </c>
      <c r="B24" s="11">
        <f>1079*1000</f>
        <v>1079000</v>
      </c>
      <c r="C24" s="11">
        <v>829747</v>
      </c>
      <c r="D24" s="11">
        <v>756688</v>
      </c>
      <c r="E24" s="23"/>
      <c r="F24" s="23"/>
      <c r="H24" s="39" t="s">
        <v>33</v>
      </c>
      <c r="I24" s="54"/>
      <c r="J24" s="54"/>
      <c r="K24" s="54"/>
      <c r="L24" s="54"/>
      <c r="M24" s="54"/>
    </row>
    <row r="25" spans="1:13">
      <c r="A25" s="10" t="s">
        <v>34</v>
      </c>
      <c r="B25" s="11">
        <f>1032*1000</f>
        <v>1032000</v>
      </c>
      <c r="C25" s="11">
        <v>795051</v>
      </c>
      <c r="D25" s="11">
        <v>737725</v>
      </c>
      <c r="E25" s="23"/>
      <c r="F25" s="23"/>
      <c r="H25" s="39" t="s">
        <v>35</v>
      </c>
      <c r="I25" s="56"/>
      <c r="J25" s="56"/>
      <c r="K25" s="56"/>
      <c r="L25" s="56"/>
      <c r="M25" s="56"/>
    </row>
    <row r="26" spans="1:13" ht="15">
      <c r="A26" s="15" t="s">
        <v>36</v>
      </c>
      <c r="B26" s="16">
        <f>46*1000</f>
        <v>46000</v>
      </c>
      <c r="C26" s="16">
        <v>34696</v>
      </c>
      <c r="D26" s="16">
        <v>18963</v>
      </c>
      <c r="E26" s="22"/>
      <c r="F26" s="22"/>
      <c r="H26" s="39" t="s">
        <v>37</v>
      </c>
      <c r="I26" s="54"/>
      <c r="J26" s="54"/>
      <c r="K26" s="54"/>
      <c r="L26" s="54"/>
      <c r="M26" s="54"/>
    </row>
    <row r="27" spans="1:13" ht="15">
      <c r="A27" s="20"/>
      <c r="B27" s="21"/>
      <c r="C27" s="21"/>
      <c r="D27" s="21"/>
      <c r="E27" s="24"/>
      <c r="F27" s="24"/>
    </row>
    <row r="28" spans="1:13">
      <c r="A28" s="10" t="s">
        <v>38</v>
      </c>
      <c r="B28" s="11">
        <f>B29+B30</f>
        <v>0</v>
      </c>
      <c r="C28" s="11">
        <f t="shared" ref="C28:D28" si="0">C29+C30</f>
        <v>13</v>
      </c>
      <c r="D28" s="11">
        <f t="shared" si="0"/>
        <v>47</v>
      </c>
      <c r="E28" s="23"/>
      <c r="F28" s="23"/>
    </row>
    <row r="29" spans="1:13">
      <c r="A29" s="10" t="s">
        <v>39</v>
      </c>
      <c r="B29" s="11">
        <f>0.41*1000</f>
        <v>410</v>
      </c>
      <c r="C29" s="11">
        <v>733</v>
      </c>
      <c r="D29" s="11">
        <v>631</v>
      </c>
      <c r="E29" s="23"/>
      <c r="F29" s="23"/>
    </row>
    <row r="30" spans="1:13" ht="15">
      <c r="A30" s="15" t="s">
        <v>40</v>
      </c>
      <c r="B30" s="16">
        <f>-0.41*1000</f>
        <v>-410</v>
      </c>
      <c r="C30" s="16">
        <v>-720</v>
      </c>
      <c r="D30" s="16">
        <v>-584</v>
      </c>
      <c r="E30" s="22"/>
      <c r="F30" s="22"/>
    </row>
    <row r="31" spans="1:13">
      <c r="A31" s="17" t="s">
        <v>41</v>
      </c>
      <c r="B31" s="18">
        <f>41*1000</f>
        <v>41000</v>
      </c>
      <c r="C31" s="18">
        <v>32776</v>
      </c>
      <c r="D31" s="18">
        <v>18754</v>
      </c>
      <c r="E31" s="19"/>
      <c r="F31" s="19"/>
    </row>
    <row r="33" spans="1:11" ht="24" thickBot="1">
      <c r="A33" s="50" t="s">
        <v>42</v>
      </c>
      <c r="B33" s="50"/>
      <c r="C33" s="50"/>
      <c r="D33" s="50"/>
      <c r="E33" s="50"/>
      <c r="F33" s="50"/>
    </row>
    <row r="34" spans="1:11">
      <c r="A34" s="44" t="s">
        <v>43</v>
      </c>
      <c r="B34" s="44"/>
      <c r="C34" s="44"/>
      <c r="D34" s="44"/>
      <c r="E34" s="44"/>
      <c r="F34" s="44"/>
      <c r="G34" s="44"/>
      <c r="H34" s="44"/>
      <c r="I34" s="38">
        <v>2017</v>
      </c>
      <c r="J34" s="32">
        <v>2015</v>
      </c>
      <c r="K34" s="32">
        <v>2014</v>
      </c>
    </row>
    <row r="35" spans="1:11" s="41" customFormat="1" ht="30" customHeight="1">
      <c r="A35" s="45" t="s">
        <v>44</v>
      </c>
      <c r="B35" s="46"/>
      <c r="C35" s="46"/>
      <c r="D35" s="46"/>
      <c r="E35" s="46"/>
      <c r="F35" s="46"/>
      <c r="G35" s="46"/>
      <c r="H35" s="46"/>
      <c r="I35" s="33"/>
      <c r="J35" s="33"/>
      <c r="K35" s="33"/>
    </row>
    <row r="36" spans="1:11" s="41" customFormat="1" ht="30" customHeight="1">
      <c r="A36" s="47" t="s">
        <v>45</v>
      </c>
      <c r="B36" s="43"/>
      <c r="C36" s="43"/>
      <c r="D36" s="43"/>
      <c r="E36" s="43"/>
      <c r="F36" s="43"/>
      <c r="G36" s="43"/>
      <c r="H36" s="43"/>
      <c r="I36" s="34"/>
      <c r="J36" s="34"/>
      <c r="K36" s="34"/>
    </row>
    <row r="37" spans="1:11" s="41" customFormat="1" ht="30" customHeight="1">
      <c r="A37" s="45" t="s">
        <v>46</v>
      </c>
      <c r="B37" s="48"/>
      <c r="C37" s="48"/>
      <c r="D37" s="48"/>
      <c r="E37" s="48"/>
      <c r="F37" s="48"/>
      <c r="G37" s="48"/>
      <c r="H37" s="48"/>
      <c r="I37" s="35"/>
      <c r="J37" s="35"/>
      <c r="K37" s="35"/>
    </row>
    <row r="38" spans="1:11" s="41" customFormat="1" ht="30" customHeight="1">
      <c r="A38" s="47" t="s">
        <v>47</v>
      </c>
      <c r="B38" s="42"/>
      <c r="C38" s="42"/>
      <c r="D38" s="42"/>
      <c r="E38" s="42"/>
      <c r="F38" s="42"/>
      <c r="G38" s="42"/>
      <c r="H38" s="42"/>
      <c r="I38" s="36"/>
      <c r="J38" s="36"/>
      <c r="K38" s="36"/>
    </row>
    <row r="39" spans="1:11" s="41" customFormat="1" ht="30" customHeight="1">
      <c r="A39" s="45" t="s">
        <v>48</v>
      </c>
      <c r="B39" s="48"/>
      <c r="C39" s="48"/>
      <c r="D39" s="48"/>
      <c r="E39" s="48"/>
      <c r="F39" s="48"/>
      <c r="G39" s="48"/>
      <c r="H39" s="48"/>
      <c r="I39" s="35"/>
      <c r="J39" s="35"/>
      <c r="K39" s="35"/>
    </row>
    <row r="40" spans="1:11" s="41" customFormat="1" ht="30" customHeight="1">
      <c r="A40" s="42" t="s">
        <v>49</v>
      </c>
      <c r="B40" s="43"/>
      <c r="C40" s="43"/>
      <c r="D40" s="43"/>
      <c r="E40" s="43"/>
      <c r="F40" s="43"/>
      <c r="G40" s="43"/>
      <c r="H40" s="43"/>
      <c r="I40" s="37"/>
      <c r="J40" s="37"/>
      <c r="K40" s="37"/>
    </row>
  </sheetData>
  <mergeCells count="23">
    <mergeCell ref="A18:F18"/>
    <mergeCell ref="A19:A21"/>
    <mergeCell ref="A33:F33"/>
    <mergeCell ref="I19:M19"/>
    <mergeCell ref="I20:M20"/>
    <mergeCell ref="I21:M21"/>
    <mergeCell ref="I22:M22"/>
    <mergeCell ref="I23:M23"/>
    <mergeCell ref="I24:M24"/>
    <mergeCell ref="I25:M25"/>
    <mergeCell ref="I26:M26"/>
    <mergeCell ref="A3:A5"/>
    <mergeCell ref="H3:H5"/>
    <mergeCell ref="A1:M1"/>
    <mergeCell ref="A2:F2"/>
    <mergeCell ref="H2:M2"/>
    <mergeCell ref="A40:H40"/>
    <mergeCell ref="A34:H34"/>
    <mergeCell ref="A35:H35"/>
    <mergeCell ref="A36:H36"/>
    <mergeCell ref="A37:H37"/>
    <mergeCell ref="A38:H38"/>
    <mergeCell ref="A39:H39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THIBAUD COUSIN</dc:creator>
  <cp:keywords/>
  <dc:description/>
  <cp:lastModifiedBy>THIBAUD COUSIN</cp:lastModifiedBy>
  <cp:revision/>
  <dcterms:created xsi:type="dcterms:W3CDTF">2026-03-13T09:00:30Z</dcterms:created>
  <dcterms:modified xsi:type="dcterms:W3CDTF">2026-04-25T13:28:19Z</dcterms:modified>
  <cp:category/>
  <cp:contentStatus/>
</cp:coreProperties>
</file>