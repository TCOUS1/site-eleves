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lie Mouchet\Documents\BTS AG\Cours\Activité 2\"/>
    </mc:Choice>
  </mc:AlternateContent>
  <xr:revisionPtr revIDLastSave="0" documentId="8_{664304EA-52A5-409A-AB6A-D123CE1983FB}" xr6:coauthVersionLast="47" xr6:coauthVersionMax="47" xr10:uidLastSave="{00000000-0000-0000-0000-000000000000}"/>
  <bookViews>
    <workbookView xWindow="0" yWindow="0" windowWidth="15330" windowHeight="7515" xr2:uid="{F4F24B19-FB1A-4289-A97C-7B610577978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F15" i="1" s="1"/>
  <c r="B14" i="1"/>
  <c r="F14" i="1" s="1"/>
  <c r="B13" i="1"/>
  <c r="B12" i="1"/>
  <c r="B11" i="1"/>
  <c r="F11" i="1" s="1"/>
  <c r="B10" i="1"/>
  <c r="B9" i="1"/>
  <c r="F9" i="1" s="1"/>
  <c r="B8" i="1"/>
  <c r="B7" i="1"/>
  <c r="B6" i="1"/>
  <c r="B5" i="1"/>
  <c r="F5" i="1" s="1"/>
  <c r="B4" i="1"/>
  <c r="F4" i="1" s="1"/>
</calcChain>
</file>

<file path=xl/sharedStrings.xml><?xml version="1.0" encoding="utf-8"?>
<sst xmlns="http://schemas.openxmlformats.org/spreadsheetml/2006/main" count="48" uniqueCount="38">
  <si>
    <t>Etat des devis des 2 derniers mois - extraction PGI</t>
  </si>
  <si>
    <t>N°Devis</t>
  </si>
  <si>
    <t>DATE devis</t>
  </si>
  <si>
    <t>NOM CLIENT</t>
  </si>
  <si>
    <t>MONTANT TTC</t>
  </si>
  <si>
    <t>Etat</t>
  </si>
  <si>
    <t>Date commande</t>
  </si>
  <si>
    <t>10-34</t>
  </si>
  <si>
    <t>Les Mariages de Colline</t>
  </si>
  <si>
    <t>Accepté</t>
  </si>
  <si>
    <t>10-57</t>
  </si>
  <si>
    <t>Mairie de Melun</t>
  </si>
  <si>
    <t>11-10</t>
  </si>
  <si>
    <t>Albin Paysage</t>
  </si>
  <si>
    <t>11-23</t>
  </si>
  <si>
    <t>SNC Desruels</t>
  </si>
  <si>
    <t>11-55</t>
  </si>
  <si>
    <t>11-75</t>
  </si>
  <si>
    <t>Figuier</t>
  </si>
  <si>
    <t>12-33</t>
  </si>
  <si>
    <t>12-41</t>
  </si>
  <si>
    <t>Agence Renault Pontault</t>
  </si>
  <si>
    <t>12-67</t>
  </si>
  <si>
    <t>Bernard Architecture</t>
  </si>
  <si>
    <t>12-88</t>
  </si>
  <si>
    <t>Ludwig</t>
  </si>
  <si>
    <t>12-102</t>
  </si>
  <si>
    <t>Arnaud</t>
  </si>
  <si>
    <t>01-11</t>
  </si>
  <si>
    <t>01-15</t>
  </si>
  <si>
    <t>01-23</t>
  </si>
  <si>
    <t>Albert</t>
  </si>
  <si>
    <t>01-25</t>
  </si>
  <si>
    <t>Roche</t>
  </si>
  <si>
    <t>01-31</t>
  </si>
  <si>
    <t>Foch</t>
  </si>
  <si>
    <t>01-32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</si>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</sst>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0" fontId="0" fillId="0" borderId="0" xfId="0" applyFill="1" applyBorder="1"/>
    <xf numFmtId="0" fontId="0" fillId="0" borderId="2" xfId="0" applyFill="1" applyBorder="1"/>
    <xf numFmtId="14" fontId="2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129C-DC10-45C5-A2EA-5FBA3E501235}">
  <dimension ref="A1:F22"/>
  <sheetViews>
    <sheetView tabSelected="1" workbookViewId="0">
      <selection sqref="A1:F1"/>
    </sheetView>
  </sheetViews>
  <sheetFormatPr defaultColWidth="11.42578125" defaultRowHeight="15"/>
  <cols>
    <col min="1" max="1" width="16" customWidth="1"/>
    <col min="3" max="3" width="23.140625" bestFit="1" customWidth="1"/>
    <col min="6" max="6" width="11.42578125" style="10"/>
  </cols>
  <sheetData>
    <row r="1" spans="1:6">
      <c r="A1" s="11" t="s">
        <v>0</v>
      </c>
      <c r="B1" s="11"/>
      <c r="C1" s="11"/>
      <c r="D1" s="11"/>
      <c r="E1" s="11"/>
      <c r="F1" s="11"/>
    </row>
    <row r="3" spans="1:6" ht="30">
      <c r="A3" s="1" t="s">
        <v>1</v>
      </c>
      <c r="B3" s="2" t="s">
        <v>2</v>
      </c>
      <c r="C3" s="1" t="s">
        <v>3</v>
      </c>
      <c r="D3" s="2" t="s">
        <v>4</v>
      </c>
      <c r="E3" s="1" t="s">
        <v>5</v>
      </c>
      <c r="F3" s="9" t="s">
        <v>6</v>
      </c>
    </row>
    <row r="4" spans="1:6">
      <c r="A4" s="3" t="s">
        <v>7</v>
      </c>
      <c r="B4" s="4">
        <f ca="1">TODAY()-45</f>
        <v>46092</v>
      </c>
      <c r="C4" s="5" t="s">
        <v>8</v>
      </c>
      <c r="D4" s="6">
        <v>258</v>
      </c>
      <c r="E4" s="5" t="s">
        <v>9</v>
      </c>
      <c r="F4" s="4">
        <f ca="1">B4+29</f>
        <v>46121</v>
      </c>
    </row>
    <row r="5" spans="1:6">
      <c r="A5" s="3" t="s">
        <v>10</v>
      </c>
      <c r="B5" s="4">
        <f ca="1">TODAY()-40</f>
        <v>46097</v>
      </c>
      <c r="C5" s="5" t="s">
        <v>11</v>
      </c>
      <c r="D5" s="6">
        <v>156</v>
      </c>
      <c r="E5" s="5" t="s">
        <v>9</v>
      </c>
      <c r="F5" s="4">
        <f ca="1">B5+8</f>
        <v>46105</v>
      </c>
    </row>
    <row r="6" spans="1:6">
      <c r="A6" s="3" t="s">
        <v>12</v>
      </c>
      <c r="B6" s="4">
        <f ca="1">TODAY()-40</f>
        <v>46097</v>
      </c>
      <c r="C6" s="7" t="s">
        <v>13</v>
      </c>
      <c r="D6" s="6">
        <v>123</v>
      </c>
      <c r="E6" s="5"/>
      <c r="F6" s="4"/>
    </row>
    <row r="7" spans="1:6">
      <c r="A7" s="3" t="s">
        <v>14</v>
      </c>
      <c r="B7" s="4">
        <f ca="1">TODAY()-30</f>
        <v>46107</v>
      </c>
      <c r="C7" s="5" t="s">
        <v>15</v>
      </c>
      <c r="D7" s="6">
        <v>562</v>
      </c>
      <c r="E7" s="5"/>
      <c r="F7" s="4"/>
    </row>
    <row r="8" spans="1:6">
      <c r="A8" s="3" t="s">
        <v>16</v>
      </c>
      <c r="B8" s="4">
        <f ca="1">TODAY()-30</f>
        <v>46107</v>
      </c>
      <c r="C8" s="5" t="s">
        <v>11</v>
      </c>
      <c r="D8" s="6">
        <v>1342</v>
      </c>
      <c r="E8" s="5"/>
      <c r="F8" s="4"/>
    </row>
    <row r="9" spans="1:6">
      <c r="A9" s="3" t="s">
        <v>17</v>
      </c>
      <c r="B9" s="4">
        <f ca="1">TODAY()-25</f>
        <v>46112</v>
      </c>
      <c r="C9" s="5" t="s">
        <v>18</v>
      </c>
      <c r="D9" s="6">
        <v>754</v>
      </c>
      <c r="E9" s="5" t="s">
        <v>9</v>
      </c>
      <c r="F9" s="4">
        <f ca="1">B9+15</f>
        <v>46127</v>
      </c>
    </row>
    <row r="10" spans="1:6">
      <c r="A10" s="3" t="s">
        <v>19</v>
      </c>
      <c r="B10" s="4">
        <f ca="1">TODAY()-23</f>
        <v>46114</v>
      </c>
      <c r="C10" s="8" t="s">
        <v>8</v>
      </c>
      <c r="D10" s="6">
        <v>521</v>
      </c>
      <c r="E10" s="5"/>
      <c r="F10" s="4"/>
    </row>
    <row r="11" spans="1:6">
      <c r="A11" s="3" t="s">
        <v>20</v>
      </c>
      <c r="B11" s="4">
        <f ca="1">TODAY()-21</f>
        <v>46116</v>
      </c>
      <c r="C11" s="5" t="s">
        <v>21</v>
      </c>
      <c r="D11" s="6">
        <v>243</v>
      </c>
      <c r="E11" s="5" t="s">
        <v>9</v>
      </c>
      <c r="F11" s="4">
        <f ca="1">B11+12</f>
        <v>46128</v>
      </c>
    </row>
    <row r="12" spans="1:6">
      <c r="A12" s="3" t="s">
        <v>22</v>
      </c>
      <c r="B12" s="4">
        <f ca="1">TODAY()-19</f>
        <v>46118</v>
      </c>
      <c r="C12" s="5" t="s">
        <v>23</v>
      </c>
      <c r="D12" s="6">
        <v>214</v>
      </c>
      <c r="E12" s="5"/>
      <c r="F12" s="4"/>
    </row>
    <row r="13" spans="1:6">
      <c r="A13" s="3" t="s">
        <v>24</v>
      </c>
      <c r="B13" s="4">
        <f ca="1">TODAY()-19</f>
        <v>46118</v>
      </c>
      <c r="C13" s="5" t="s">
        <v>25</v>
      </c>
      <c r="D13" s="6">
        <v>1324</v>
      </c>
      <c r="E13" s="5"/>
      <c r="F13" s="4"/>
    </row>
    <row r="14" spans="1:6">
      <c r="A14" s="3" t="s">
        <v>26</v>
      </c>
      <c r="B14" s="4">
        <f ca="1">TODAY()-15</f>
        <v>46122</v>
      </c>
      <c r="C14" s="5" t="s">
        <v>27</v>
      </c>
      <c r="D14" s="6">
        <v>765</v>
      </c>
      <c r="E14" s="5" t="s">
        <v>9</v>
      </c>
      <c r="F14" s="4">
        <f ca="1">B14+3</f>
        <v>46125</v>
      </c>
    </row>
    <row r="15" spans="1:6">
      <c r="A15" s="3" t="s">
        <v>28</v>
      </c>
      <c r="B15" s="4">
        <f ca="1">TODAY()-14</f>
        <v>46123</v>
      </c>
      <c r="C15" s="5" t="s">
        <v>8</v>
      </c>
      <c r="D15" s="6">
        <v>426</v>
      </c>
      <c r="E15" s="5" t="s">
        <v>9</v>
      </c>
      <c r="F15" s="4">
        <f ca="1">B15+14</f>
        <v>46137</v>
      </c>
    </row>
    <row r="16" spans="1:6">
      <c r="A16" s="3" t="s">
        <v>29</v>
      </c>
      <c r="B16" s="4">
        <f ca="1">TODAY()-12</f>
        <v>46125</v>
      </c>
      <c r="C16" s="5" t="s">
        <v>11</v>
      </c>
      <c r="D16" s="6">
        <v>1298</v>
      </c>
      <c r="E16" s="5"/>
      <c r="F16" s="4"/>
    </row>
    <row r="17" spans="1:6">
      <c r="A17" s="3" t="s">
        <v>30</v>
      </c>
      <c r="B17" s="4">
        <f ca="1">TODAY()-10</f>
        <v>46127</v>
      </c>
      <c r="C17" s="5" t="s">
        <v>31</v>
      </c>
      <c r="D17" s="6">
        <v>342</v>
      </c>
      <c r="E17" s="5"/>
      <c r="F17" s="4"/>
    </row>
    <row r="18" spans="1:6">
      <c r="A18" s="3" t="s">
        <v>32</v>
      </c>
      <c r="B18" s="4">
        <f ca="1">TODAY()-8</f>
        <v>46129</v>
      </c>
      <c r="C18" s="5" t="s">
        <v>33</v>
      </c>
      <c r="D18" s="6">
        <v>1678</v>
      </c>
      <c r="E18" s="5"/>
      <c r="F18" s="4"/>
    </row>
    <row r="19" spans="1:6">
      <c r="A19" s="3" t="s">
        <v>34</v>
      </c>
      <c r="B19" s="4">
        <f ca="1">TODAY()-8</f>
        <v>46129</v>
      </c>
      <c r="C19" s="5" t="s">
        <v>35</v>
      </c>
      <c r="D19" s="6">
        <v>543</v>
      </c>
      <c r="E19" s="5"/>
      <c r="F19" s="4"/>
    </row>
    <row r="20" spans="1:6">
      <c r="A20" s="3" t="s">
        <v>36</v>
      </c>
      <c r="B20" s="4">
        <f ca="1">TODAY()-6</f>
        <v>46131</v>
      </c>
      <c r="C20" s="5" t="s">
        <v>37</v>
      </c>
      <c r="D20" s="6">
        <v>174</v>
      </c>
      <c r="E20" s="5"/>
      <c r="F20" s="4"/>
    </row>
    <row r="22" spans="1:6">
      <c r="B22" t="s">
        <v>9</v>
      </c>
    </row>
  </sheetData>
  <mergeCells count="1">
    <mergeCell ref="A1:F1"/>
  </mergeCells>
  <dataValidations count="1">
    <dataValidation type="list" allowBlank="1" showInputMessage="1" showErrorMessage="1" sqref="E4:E20" xr:uid="{FD527C42-2CDC-42F4-85F6-0DD7B626384C}">
      <formula1>$B$22:$C$22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Mouchet</dc:creator>
  <cp:keywords/>
  <dc:description/>
  <cp:lastModifiedBy>Nathalie Mouchet</cp:lastModifiedBy>
  <cp:revision/>
  <dcterms:created xsi:type="dcterms:W3CDTF">2018-09-02T10:59:05Z</dcterms:created>
  <dcterms:modified xsi:type="dcterms:W3CDTF">2026-04-25T13:23:04Z</dcterms:modified>
  <cp:category/>
  <cp:contentStatus/>
</cp:coreProperties>
</file>