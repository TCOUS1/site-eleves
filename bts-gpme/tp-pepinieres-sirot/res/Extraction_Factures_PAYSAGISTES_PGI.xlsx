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yceehdf-my.sharepoint.com/personal/tcousin5_eduhdf_fr/Documents/Documents/2025-2026-CONDORCET/04-BTS GPME/01-GRCF-8H/1.2.Administration des ventes de la PME/CAS Pépinières SIROT/Ressources numériques/"/>
    </mc:Choice>
  </mc:AlternateContent>
  <xr:revisionPtr revIDLastSave="0" documentId="8_{300CD36A-F2AD-401A-9413-F8F073EABE6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Extraction PG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14" i="1"/>
  <c r="B13" i="1"/>
  <c r="B12" i="1"/>
  <c r="B11" i="1"/>
  <c r="B10" i="1"/>
  <c r="B8" i="1"/>
  <c r="B9" i="1"/>
  <c r="B6" i="1"/>
  <c r="B5" i="1"/>
  <c r="B7" i="1"/>
  <c r="B4" i="1"/>
</calcChain>
</file>

<file path=xl/sharedStrings.xml><?xml version="1.0" encoding="utf-8"?>
<sst xmlns="http://schemas.openxmlformats.org/spreadsheetml/2006/main" count="83" uniqueCount="47">
  <si>
    <t>SUIVI DES FACTURES Famille PAYSAGISTES</t>
  </si>
  <si>
    <t>N°FACT</t>
  </si>
  <si>
    <t>DATE de livraison</t>
  </si>
  <si>
    <t>NOM CLIENT</t>
  </si>
  <si>
    <t>MONTANT TTC</t>
  </si>
  <si>
    <t>LITIGE</t>
  </si>
  <si>
    <t>MODALITE DE REGLEMENT</t>
  </si>
  <si>
    <t>Modalités de règlement en jours</t>
  </si>
  <si>
    <t>ECHEANCE</t>
  </si>
  <si>
    <t>10-34</t>
  </si>
  <si>
    <t>Roche Paysage</t>
  </si>
  <si>
    <t>OUI</t>
  </si>
  <si>
    <t>COMPTANT</t>
  </si>
  <si>
    <t xml:space="preserve"> </t>
  </si>
  <si>
    <t>10-57</t>
  </si>
  <si>
    <t>Société Dunand</t>
  </si>
  <si>
    <t>NON</t>
  </si>
  <si>
    <t>30 JOURS</t>
  </si>
  <si>
    <t>11-10</t>
  </si>
  <si>
    <t>Mairie de Créteil</t>
  </si>
  <si>
    <t>11-23</t>
  </si>
  <si>
    <t>SARL DSP</t>
  </si>
  <si>
    <t>11-55</t>
  </si>
  <si>
    <t>Tout en vert</t>
  </si>
  <si>
    <t>11-75</t>
  </si>
  <si>
    <t>Descurt</t>
  </si>
  <si>
    <t>12-33</t>
  </si>
  <si>
    <t>Valentin</t>
  </si>
  <si>
    <t>12-41</t>
  </si>
  <si>
    <t>Galinant EURL</t>
  </si>
  <si>
    <t>12-67</t>
  </si>
  <si>
    <t>Bernard</t>
  </si>
  <si>
    <t>12-88</t>
  </si>
  <si>
    <t>Ludwig</t>
  </si>
  <si>
    <t>12-102</t>
  </si>
  <si>
    <t>Paysage et Ecologie</t>
  </si>
  <si>
    <t>01-11</t>
  </si>
  <si>
    <t>Espaces verts Delplanques</t>
  </si>
  <si>
    <t>01-15</t>
  </si>
  <si>
    <t>Lelièvre</t>
  </si>
  <si>
    <t>01-23</t>
  </si>
  <si>
    <t>Albert</t>
  </si>
  <si>
    <t>01-25</t>
  </si>
  <si>
    <t>01-31</t>
  </si>
  <si>
    <t>Foch</t>
  </si>
  <si>
    <t>01-32</t>
  </si>
  <si>
    <t>30 JOURS FIN DE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</si>
</sst>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/>
    <xf numFmtId="49" fontId="2" fillId="0" borderId="1" xfId="0" applyNumberFormat="1" applyFont="1" applyBorder="1" applyAlignment="1">
      <alignment horizontal="center" vertical="center" wrapText="1"/>
    </xf>
    <xf numFmtId="44" fontId="0" fillId="0" borderId="1" xfId="1" applyFont="1" applyBorder="1"/>
    <xf numFmtId="0" fontId="4" fillId="0" borderId="0" xfId="0" applyFont="1"/>
    <xf numFmtId="0" fontId="3" fillId="0" borderId="0" xfId="0" applyFont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4"/>
  <sheetViews>
    <sheetView tabSelected="1" topLeftCell="A3" workbookViewId="0">
      <selection activeCell="H34" sqref="H34"/>
    </sheetView>
  </sheetViews>
  <sheetFormatPr defaultColWidth="11.42578125" defaultRowHeight="14.45"/>
  <cols>
    <col min="3" max="3" width="24.5703125" bestFit="1" customWidth="1"/>
    <col min="6" max="6" width="20.42578125" bestFit="1" customWidth="1"/>
    <col min="7" max="7" width="20.42578125" customWidth="1"/>
    <col min="17" max="17" width="16.42578125" bestFit="1" customWidth="1"/>
  </cols>
  <sheetData>
    <row r="1" spans="1:17" ht="18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s="7" customFormat="1" ht="28.9">
      <c r="A3" s="4" t="s">
        <v>1</v>
      </c>
      <c r="B3" s="5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5" t="s">
        <v>7</v>
      </c>
      <c r="H3" s="4" t="s">
        <v>8</v>
      </c>
      <c r="I3" s="6"/>
      <c r="J3" s="6"/>
      <c r="K3" s="6"/>
      <c r="L3" s="6"/>
      <c r="M3" s="9"/>
      <c r="N3" s="9"/>
      <c r="O3" s="9"/>
      <c r="P3" s="9"/>
      <c r="Q3" s="6"/>
    </row>
    <row r="4" spans="1:17">
      <c r="A4" s="2" t="s">
        <v>9</v>
      </c>
      <c r="B4" s="3">
        <f ca="1">TODAY()-60</f>
        <v>46077</v>
      </c>
      <c r="C4" s="1" t="s">
        <v>10</v>
      </c>
      <c r="D4" s="10">
        <v>2578</v>
      </c>
      <c r="E4" s="1" t="s">
        <v>11</v>
      </c>
      <c r="F4" s="1" t="s">
        <v>12</v>
      </c>
      <c r="G4" s="1"/>
      <c r="H4" s="3"/>
      <c r="I4" s="1"/>
      <c r="J4" s="1"/>
      <c r="K4" s="1"/>
      <c r="L4" s="1"/>
      <c r="M4" s="1" t="s">
        <v>13</v>
      </c>
      <c r="N4" s="1"/>
      <c r="O4" s="1"/>
      <c r="P4" s="1"/>
      <c r="Q4" s="1"/>
    </row>
    <row r="5" spans="1:17">
      <c r="A5" s="2" t="s">
        <v>14</v>
      </c>
      <c r="B5" s="3">
        <f ca="1">TODAY()-58</f>
        <v>46079</v>
      </c>
      <c r="C5" s="1" t="s">
        <v>15</v>
      </c>
      <c r="D5" s="10">
        <v>256</v>
      </c>
      <c r="E5" s="1" t="s">
        <v>16</v>
      </c>
      <c r="F5" s="1" t="s">
        <v>17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2" t="s">
        <v>18</v>
      </c>
      <c r="B6" s="3">
        <f ca="1">TODAY()-57</f>
        <v>46080</v>
      </c>
      <c r="C6" t="s">
        <v>19</v>
      </c>
      <c r="D6" s="10">
        <v>1523</v>
      </c>
      <c r="E6" s="1" t="s">
        <v>16</v>
      </c>
      <c r="F6" s="1" t="s">
        <v>17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2" t="s">
        <v>20</v>
      </c>
      <c r="B7" s="3">
        <f t="shared" ref="B7:B9" ca="1" si="0">TODAY()-60</f>
        <v>46077</v>
      </c>
      <c r="C7" s="1" t="s">
        <v>21</v>
      </c>
      <c r="D7" s="10">
        <v>5623</v>
      </c>
      <c r="E7" s="1" t="s">
        <v>16</v>
      </c>
      <c r="F7" s="1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2" t="s">
        <v>22</v>
      </c>
      <c r="B8" s="3">
        <f ca="1">TODAY()-58</f>
        <v>46079</v>
      </c>
      <c r="C8" s="1" t="s">
        <v>23</v>
      </c>
      <c r="D8" s="10">
        <v>1342</v>
      </c>
      <c r="E8" s="1" t="s">
        <v>16</v>
      </c>
      <c r="F8" s="1" t="s">
        <v>12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2" t="s">
        <v>24</v>
      </c>
      <c r="B9" s="3">
        <f t="shared" ca="1" si="0"/>
        <v>46077</v>
      </c>
      <c r="C9" s="1" t="s">
        <v>25</v>
      </c>
      <c r="D9" s="10">
        <v>2754</v>
      </c>
      <c r="E9" s="1" t="s">
        <v>16</v>
      </c>
      <c r="F9" s="1" t="s">
        <v>17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2" t="s">
        <v>26</v>
      </c>
      <c r="B10" s="3">
        <f ca="1">TODAY()-45</f>
        <v>46092</v>
      </c>
      <c r="C10" s="8" t="s">
        <v>27</v>
      </c>
      <c r="D10" s="10">
        <v>521</v>
      </c>
      <c r="E10" s="1" t="s">
        <v>16</v>
      </c>
      <c r="F10" s="1" t="s">
        <v>17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2" t="s">
        <v>28</v>
      </c>
      <c r="B11" s="3">
        <f ca="1">TODAY()-50</f>
        <v>46087</v>
      </c>
      <c r="C11" s="1" t="s">
        <v>29</v>
      </c>
      <c r="D11" s="10">
        <v>6643</v>
      </c>
      <c r="E11" s="1" t="s">
        <v>16</v>
      </c>
      <c r="F11" s="1" t="s">
        <v>12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2" t="s">
        <v>30</v>
      </c>
      <c r="B12" s="3">
        <f ca="1">TODAY()-55</f>
        <v>46082</v>
      </c>
      <c r="C12" s="1" t="s">
        <v>31</v>
      </c>
      <c r="D12" s="10">
        <v>214</v>
      </c>
      <c r="E12" s="1" t="s">
        <v>16</v>
      </c>
      <c r="F12" s="1" t="s">
        <v>17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2" t="s">
        <v>32</v>
      </c>
      <c r="B13" s="3">
        <f ca="1">TODAY()-33</f>
        <v>46104</v>
      </c>
      <c r="C13" s="1" t="s">
        <v>33</v>
      </c>
      <c r="D13" s="10">
        <v>1324</v>
      </c>
      <c r="E13" s="1" t="s">
        <v>16</v>
      </c>
      <c r="F13" s="1" t="s">
        <v>17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2" t="s">
        <v>34</v>
      </c>
      <c r="B14" s="3">
        <f ca="1">TODAY()-35</f>
        <v>46102</v>
      </c>
      <c r="C14" s="1" t="s">
        <v>35</v>
      </c>
      <c r="D14" s="10">
        <v>765</v>
      </c>
      <c r="E14" s="1" t="s">
        <v>11</v>
      </c>
      <c r="F14" s="1" t="s">
        <v>17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2" t="s">
        <v>36</v>
      </c>
      <c r="B15" s="3">
        <f ca="1">TODAY()-20</f>
        <v>46117</v>
      </c>
      <c r="C15" s="8" t="s">
        <v>37</v>
      </c>
      <c r="D15" s="10">
        <v>426</v>
      </c>
      <c r="E15" s="1" t="s">
        <v>16</v>
      </c>
      <c r="F15" s="1" t="s">
        <v>17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2" t="s">
        <v>38</v>
      </c>
      <c r="B16" s="3">
        <f ca="1">TODAY()-18</f>
        <v>46119</v>
      </c>
      <c r="C16" s="1" t="s">
        <v>39</v>
      </c>
      <c r="D16" s="10">
        <v>1298</v>
      </c>
      <c r="E16" s="1" t="s">
        <v>11</v>
      </c>
      <c r="F16" s="1" t="s">
        <v>17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2" t="s">
        <v>40</v>
      </c>
      <c r="B17" s="3">
        <f ca="1">TODAY()-24</f>
        <v>46113</v>
      </c>
      <c r="C17" s="1" t="s">
        <v>41</v>
      </c>
      <c r="D17" s="10">
        <v>342</v>
      </c>
      <c r="E17" s="1" t="s">
        <v>11</v>
      </c>
      <c r="F17" s="1" t="s">
        <v>12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2" t="s">
        <v>42</v>
      </c>
      <c r="B18" s="3">
        <f ca="1">TODAY()-12</f>
        <v>46125</v>
      </c>
      <c r="C18" s="1" t="s">
        <v>10</v>
      </c>
      <c r="D18" s="10">
        <v>1678</v>
      </c>
      <c r="E18" s="1" t="s">
        <v>16</v>
      </c>
      <c r="F18" s="1" t="s">
        <v>17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2" t="s">
        <v>43</v>
      </c>
      <c r="B19" s="3">
        <f ca="1">TODAY()-17</f>
        <v>46120</v>
      </c>
      <c r="C19" s="1" t="s">
        <v>44</v>
      </c>
      <c r="D19" s="10">
        <v>543</v>
      </c>
      <c r="E19" s="1" t="s">
        <v>16</v>
      </c>
      <c r="F19" s="1" t="s">
        <v>12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2" t="s">
        <v>45</v>
      </c>
      <c r="B20" s="3">
        <f ca="1">TODAY()-10</f>
        <v>46127</v>
      </c>
      <c r="C20" s="1" t="s">
        <v>37</v>
      </c>
      <c r="D20" s="10">
        <v>1743</v>
      </c>
      <c r="E20" s="1" t="s">
        <v>16</v>
      </c>
      <c r="F20" s="1" t="s">
        <v>17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2" spans="1:17">
      <c r="B22" s="11" t="s">
        <v>11</v>
      </c>
      <c r="C22" s="11" t="s">
        <v>12</v>
      </c>
    </row>
    <row r="23" spans="1:17">
      <c r="B23" s="11" t="s">
        <v>16</v>
      </c>
      <c r="C23" s="11" t="s">
        <v>17</v>
      </c>
    </row>
    <row r="24" spans="1:17">
      <c r="B24" s="11"/>
      <c r="C24" s="11" t="s">
        <v>46</v>
      </c>
    </row>
  </sheetData>
  <mergeCells count="1">
    <mergeCell ref="A1:Q1"/>
  </mergeCells>
  <dataValidations count="2">
    <dataValidation type="list" allowBlank="1" showInputMessage="1" showErrorMessage="1" sqref="E4:E20" xr:uid="{00000000-0002-0000-0000-000000000000}">
      <formula1>$B$22:$B$23</formula1>
    </dataValidation>
    <dataValidation type="list" allowBlank="1" showInputMessage="1" showErrorMessage="1" sqref="F4:F20" xr:uid="{00000000-0002-0000-0000-000001000000}">
      <formula1>$C$22:$C$24</formula1>
    </dataValidation>
  </dataValidations>
  <pageMargins left="0.25" right="0.25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Mouchet</dc:creator>
  <cp:keywords/>
  <dc:description/>
  <cp:lastModifiedBy>THIBAUD COUSIN</cp:lastModifiedBy>
  <cp:revision/>
  <dcterms:created xsi:type="dcterms:W3CDTF">2018-01-29T18:43:29Z</dcterms:created>
  <dcterms:modified xsi:type="dcterms:W3CDTF">2026-04-25T13:30:05Z</dcterms:modified>
  <cp:category/>
  <cp:contentStatus/>
</cp:coreProperties>
</file>