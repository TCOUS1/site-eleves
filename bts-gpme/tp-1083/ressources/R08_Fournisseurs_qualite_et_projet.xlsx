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61a8b7d7004a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tours_clients" sheetId="1" r:id="Rb90d34adae304c7f"/>
    <x:sheet xmlns:r="http://schemas.openxmlformats.org/officeDocument/2006/relationships" name="Fournisseurs_criticite" sheetId="2" r:id="Ra4bdea27900f4d25"/>
    <x:sheet xmlns:r="http://schemas.openxmlformats.org/officeDocument/2006/relationships" name="Projet_actions" sheetId="3" r:id="Rf21416d2f14341d3"/>
    <x:sheet xmlns:r="http://schemas.openxmlformats.org/officeDocument/2006/relationships" name="Lire_ce_classeur" sheetId="4" r:id="R120e73db2c7e4a1c"/>
    <x:sheet xmlns:r="http://schemas.openxmlformats.org/officeDocument/2006/relationships" name="Analyse_dependances" sheetId="5" r:id="Re3eac6009dae48b1"/>
    <x:sheet xmlns:r="http://schemas.openxmlformats.org/officeDocument/2006/relationships" name="Veille_S5" sheetId="6" r:id="R2629d323550d4d8f"/>
    <x:sheet xmlns:r="http://schemas.openxmlformats.org/officeDocument/2006/relationships" name="Projet_initial" sheetId="7" r:id="R6e71ce5b437144de"/>
    <x:sheet xmlns:r="http://schemas.openxmlformats.org/officeDocument/2006/relationships" name="Volumes_exposition" sheetId="8" r:id="R2f4306e9c8f94615"/>
    <x:sheet xmlns:r="http://schemas.openxmlformats.org/officeDocument/2006/relationships" name="Diagnostic_complementaire" sheetId="9" r:id="Rdfd25310ec6f43f3"/>
    <x:sheet xmlns:r="http://schemas.openxmlformats.org/officeDocument/2006/relationships" name="Suivi_pilote" sheetId="10" r:id="Rfa20d5a7f4a547e7"/>
    <x:sheet xmlns:r="http://schemas.openxmlformats.org/officeDocument/2006/relationships" name="Capitalisation_REX" sheetId="11" r:id="Rc7a48a00a8a048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#,##0.00 &quot;€&quot;"/>
    <x:numFmt numFmtId="202" formatCode="0%"/>
    <x:numFmt numFmtId="203" formatCode="0.00%"/>
  </x:numFmts>
  <x:fonts count="7">
    <x:font>
      <x:sz val="11"/>
      <x:name val="Carlito"/>
    </x:font>
    <x:font>
      <x:b/>
      <x:sz val="11"/>
      <x:color rgb="FF6A4A00"/>
      <x:name val="Carlito"/>
    </x:font>
    <x:font>
      <x:b/>
      <x:sz val="11"/>
      <x:color rgb="FF173F45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6A4A00"/>
      <x:name val="Carlito"/>
    </x:font>
    <x:font>
      <x:sz val="11"/>
      <x:color rgb="FF244E2E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FFF3CD"/>
      </x:patternFill>
    </x:fill>
    <x:fill>
      <x:patternFill patternType="solid">
        <x:fgColor rgb="FFDDEFF2"/>
      </x:patternFill>
    </x:fill>
    <x:fill>
      <x:patternFill patternType="solid">
        <x:fgColor rgb="FF315D77"/>
      </x:patternFill>
    </x:fill>
    <x:fill>
      <x:patternFill patternType="solid">
        <x:fgColor rgb="FF3C7465"/>
      </x:patternFill>
    </x:fill>
    <x:fill>
      <x:patternFill patternType="solid">
        <x:fgColor rgb="FFFFF3C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8F3E8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3CD"/>
      </x:patternFill>
    </x:fill>
    <x:fill>
      <x:patternFill patternType="solid">
        <x:fgColor rgb="FFE8F3E8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1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horizont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0" fillId="11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201" fontId="0" fillId="12" borderId="0" xfId="0" applyNumberFormat="1" applyFont="1" applyFill="1" applyBorder="1"/>
    <x:xf numFmtId="0" fontId="2" fillId="12" borderId="0" xfId="0" applyNumberFormat="1" applyFont="1" applyFill="1" applyBorder="1"/>
    <x:xf numFmtId="201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201" fontId="2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vertical="center" wrapText="1"/>
    </x:xf>
    <x:xf numFmtId="201" fontId="2" fillId="12" borderId="0" xfId="0" applyNumberFormat="1" applyFont="1" applyFill="1" applyBorder="1" applyAlignment="1">
      <x:alignment vertical="center" wrapText="1"/>
    </x:xf>
    <x:xf numFmtId="0" fontId="4" fillId="13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0" xfId="0" applyNumberFormat="1" applyFont="1" applyFill="1" applyBorder="1" applyAlignment="1">
      <x:alignment wrapText="1"/>
    </x:xf>
    <x:xf numFmtId="0" fontId="4" fillId="13" borderId="0" xfId="0" applyNumberFormat="1" applyFont="1" applyFill="1" applyBorder="1" applyAlignment="1">
      <x:alignment horizontal="center" wrapText="1"/>
    </x:xf>
    <x:xf numFmtId="201" fontId="0" fillId="10" borderId="0" xfId="0" applyNumberFormat="1" applyFont="1" applyFill="1" applyBorder="1"/>
    <x:xf numFmtId="201" fontId="2" fillId="10" borderId="0" xfId="0" applyNumberFormat="1" applyFont="1" applyFill="1" applyBorder="1"/>
    <x:xf numFmtId="201" fontId="2" fillId="10" borderId="0" xfId="0" applyNumberFormat="1" applyFont="1" applyFill="1" applyBorder="1" applyAlignment="1">
      <x:alignment wrapText="1"/>
    </x:xf>
    <x:xf numFmtId="201" fontId="2" fillId="10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4" fillId="14" borderId="0" xfId="0" applyNumberFormat="1" applyFont="1" applyFill="1" applyBorder="1"/>
    <x:xf numFmtId="0" fontId="4" fillId="14" borderId="0" xfId="0" applyNumberFormat="1" applyFont="1" applyFill="1" applyBorder="1" applyAlignment="1">
      <x:alignment wrapText="1"/>
    </x:xf>
    <x:xf numFmtId="0" fontId="4" fillId="14" borderId="0" xfId="0" applyNumberFormat="1" applyFont="1" applyFill="1" applyBorder="1" applyAlignment="1">
      <x:alignment horizontal="center" wrapText="1"/>
    </x:xf>
    <x:xf numFmtId="0" fontId="4" fillId="14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5" fillId="16" borderId="0" xfId="0" applyNumberFormat="1" applyFont="1" applyFill="1" applyBorder="1"/>
    <x:xf numFmtId="0" fontId="5" fillId="16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0" fontId="0" fillId="17" borderId="0" xfId="0" applyNumberFormat="1" applyFont="1" applyFill="1" applyBorder="1"/>
    <x:xf numFmtId="0" fontId="6" fillId="17" borderId="0" xfId="0" applyNumberFormat="1" applyFont="1" applyFill="1" applyBorder="1"/>
    <x:xf numFmtId="0" fontId="6" fillId="17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 applyAlignment="1">
      <x:alignment vertical="top" wrapText="1"/>
    </x:xf>
    <x:xf numFmtId="0" fontId="2" fillId="18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2" fillId="18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1" fillId="15" borderId="0" xfId="0" applyNumberFormat="1" applyFont="1" applyFill="1" applyBorder="1" applyAlignment="1">
      <x:alignment vertical="center" wrapText="1"/>
    </x:xf>
    <x:xf numFmtId="0" fontId="2" fillId="15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201" fontId="0" fillId="18" borderId="0" xfId="0" applyNumberFormat="1" applyFont="1" applyFill="1" applyBorder="1"/>
    <x:xf numFmtId="0" fontId="2" fillId="18" borderId="0" xfId="0" applyNumberFormat="1" applyFont="1" applyFill="1" applyBorder="1"/>
    <x:xf numFmtId="201" fontId="2" fillId="18" borderId="0" xfId="0" applyNumberFormat="1" applyFont="1" applyFill="1" applyBorder="1"/>
    <x:xf numFmtId="0" fontId="2" fillId="18" borderId="0" xfId="0" applyNumberFormat="1" applyFont="1" applyFill="1" applyBorder="1" applyAlignment="1">
      <x:alignment wrapText="1"/>
    </x:xf>
    <x:xf numFmtId="201" fontId="2" fillId="18" borderId="0" xfId="0" applyNumberFormat="1" applyFont="1" applyFill="1" applyBorder="1" applyAlignment="1">
      <x:alignment wrapText="1"/>
    </x:xf>
    <x:xf numFmtId="0" fontId="2" fillId="18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vertical="top" wrapText="1"/>
    </x:xf>
    <x:xf numFmtId="0" fontId="2" fillId="10" borderId="0" xfId="0" applyNumberFormat="1" applyFont="1" applyFill="1" applyBorder="1" applyAlignment="1">
      <x:alignment vertical="top" wrapText="1"/>
    </x:xf>
    <x:xf numFmtId="203" fontId="2" fillId="10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9738b0fbae4e9a" /><Relationship Type="http://schemas.openxmlformats.org/officeDocument/2006/relationships/theme" Target="/xl/theme/theme1.xml" Id="R85a3c4ced7c44b7b" /><Relationship Type="http://schemas.openxmlformats.org/officeDocument/2006/relationships/sharedStrings" Target="/xl/sharedStrings.xml" Id="R0764efd86ca14f78" /><Relationship Type="http://schemas.openxmlformats.org/officeDocument/2006/relationships/worksheet" Target="/xl/worksheets/sheet1.xml" Id="Rb90d34adae304c7f" /><Relationship Type="http://schemas.openxmlformats.org/officeDocument/2006/relationships/worksheet" Target="/xl/worksheets/sheet2.xml" Id="Ra4bdea27900f4d25" /><Relationship Type="http://schemas.openxmlformats.org/officeDocument/2006/relationships/worksheet" Target="/xl/worksheets/sheet3.xml" Id="Rf21416d2f14341d3" /><Relationship Type="http://schemas.openxmlformats.org/officeDocument/2006/relationships/worksheet" Target="/xl/worksheets/sheet4.xml" Id="R120e73db2c7e4a1c" /><Relationship Type="http://schemas.openxmlformats.org/officeDocument/2006/relationships/worksheet" Target="/xl/worksheets/sheet5.xml" Id="Re3eac6009dae48b1" /><Relationship Type="http://schemas.openxmlformats.org/officeDocument/2006/relationships/worksheet" Target="/xl/worksheets/sheet6.xml" Id="R2629d323550d4d8f" /><Relationship Type="http://schemas.openxmlformats.org/officeDocument/2006/relationships/worksheet" Target="/xl/worksheets/sheet7.xml" Id="R6e71ce5b437144de" /><Relationship Type="http://schemas.openxmlformats.org/officeDocument/2006/relationships/worksheet" Target="/xl/worksheets/sheet8.xml" Id="R2f4306e9c8f94615" /><Relationship Type="http://schemas.openxmlformats.org/officeDocument/2006/relationships/worksheet" Target="/xl/worksheets/sheet9.xml" Id="Rdfd25310ec6f43f3" /><Relationship Type="http://schemas.openxmlformats.org/officeDocument/2006/relationships/worksheet" Target="/xl/worksheets/sheet10.xml" Id="Rfa20d5a7f4a547e7" /><Relationship Type="http://schemas.openxmlformats.org/officeDocument/2006/relationships/worksheet" Target="/xl/worksheets/sheet11.xml" Id="Rc7a48a00a8a04893" /></Relationships>
</file>

<file path=xl/tables/table1.xml><?xml version="1.0" encoding="utf-8"?>
<x:table xmlns:x="http://schemas.openxmlformats.org/spreadsheetml/2006/main" id="1" name="ReturnsTable" displayName="ReturnsTable" ref="A3:L123" headerRowCount="1" totalsRowCount="0" totalsRowShown="0">
  <x:tableColumns count="12">
    <x:tableColumn id="1" name="N° retour"/>
    <x:tableColumn id="2" name="Date"/>
    <x:tableColumn id="3" name="Canal"/>
    <x:tableColumn id="4" name="Référence pédagogique"/>
    <x:tableColumn id="5" name="Taille"/>
    <x:tableColumn id="6" name="Motif principal"/>
    <x:tableColumn id="7" name="Sous-motif"/>
    <x:tableColumn id="8" name="Lot"/>
    <x:tableColumn id="9" name="Atelier pédagogique"/>
    <x:tableColumn id="10" name="Délai SAV (jours)"/>
    <x:tableColumn id="11" name="Coût estimé (€)"/>
    <x:tableColumn id="12" name="Iss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ppliersTable" displayName="SuppliersTable" ref="A3:K13" headerRowCount="1" totalsRowCount="0" totalsRowShown="0">
  <x:tableColumns count="11">
    <x:tableColumn id="1" name="Partenaire pédagogique"/>
    <x:tableColumn id="2" name="Étape"/>
    <x:tableColumn id="3" name="Part des volumes concernés"/>
    <x:tableColumn id="4" name="Délai moyen"/>
    <x:tableColumn id="5" name="Alternative qualifiée ?"/>
    <x:tableColumn id="6" name="Délai de substitution"/>
    <x:tableColumn id="7" name="Dépendance technique"/>
    <x:tableColumn id="8" name="Certification / preuve"/>
    <x:tableColumn id="9" name="Incident 12 derniers mois"/>
    <x:tableColumn id="10" name="Impact environnemental à surveiller"/>
    <x:tableColumn id="11" name="Observ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jectTable" displayName="ProjectTable" ref="A3:H11" headerRowCount="1" totalsRowCount="0" totalsRowShown="0">
  <x:tableColumns count="8">
    <x:tableColumn id="1" name="Action / tâche"/>
    <x:tableColumn id="2" name="Responsable"/>
    <x:tableColumn id="3" name="Durée estimée (jours)"/>
    <x:tableColumn id="4" name="Prédécesseur"/>
    <x:tableColumn id="5" name="Date début prévue"/>
    <x:tableColumn id="6" name="Date fin prévue"/>
    <x:tableColumn id="7" name="Indicateur de réussite"/>
    <x:tableColumn id="8" name="Statu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52a213292d492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9a10285b2b04d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733a26302ac4037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20" hidden="0" customWidth="1"/>
    <x:col min="5" max="5" width="10" hidden="0" customWidth="1"/>
    <x:col min="6" max="6" width="22" hidden="0" customWidth="1"/>
    <x:col min="7" max="7" width="30" hidden="0" customWidth="1"/>
    <x:col min="8" max="8" width="12" hidden="0" customWidth="1"/>
    <x:col min="9" max="9" width="18" hidden="0" customWidth="1"/>
    <x:col min="10" max="10" width="16" hidden="0" customWidth="1"/>
    <x:col min="11" max="11" width="15" hidden="0" customWidth="1"/>
    <x:col min="12" max="12" width="18" hidden="0" customWidth="1"/>
  </x:cols>
  <x:sheetData>
    <x:row r="1" ht="32" customHeight="1">
      <x:c r="A1" s="6" t="str">
        <x:v>DONNÉES CRÉÉES POUR LE TP — retours, références, ateliers et coûts sont fictifs et ne décrivent pas des défauts réels de 1083.</x:v>
      </x:c>
      <x:c r="B1"/>
      <x:c r="C1"/>
      <x:c r="D1"/>
      <x:c r="E1"/>
      <x:c r="F1"/>
      <x:c r="G1"/>
      <x:c r="H1"/>
      <x:c r="I1"/>
      <x:c r="J1"/>
      <x:c r="K1"/>
      <x:c r="L1"/>
    </x:row>
    <x:row r="3">
      <x:c r="A3" s="14" t="str">
        <x:v>N° retour</x:v>
      </x:c>
      <x:c r="B3" s="14" t="str">
        <x:v>Date</x:v>
      </x:c>
      <x:c r="C3" s="14" t="str">
        <x:v>Canal</x:v>
      </x:c>
      <x:c r="D3" s="14" t="str">
        <x:v>Référence pédagogique</x:v>
      </x:c>
      <x:c r="E3" s="14" t="str">
        <x:v>Taille</x:v>
      </x:c>
      <x:c r="F3" s="14" t="str">
        <x:v>Motif principal</x:v>
      </x:c>
      <x:c r="G3" s="14" t="str">
        <x:v>Sous-motif</x:v>
      </x:c>
      <x:c r="H3" s="14" t="str">
        <x:v>Lot</x:v>
      </x:c>
      <x:c r="I3" s="14" t="str">
        <x:v>Atelier pédagogique</x:v>
      </x:c>
      <x:c r="J3" s="14" t="str">
        <x:v>Délai SAV (jours)</x:v>
      </x:c>
      <x:c r="K3" s="14" t="str">
        <x:v>Coût estimé (€)</x:v>
      </x:c>
      <x:c r="L3" s="14" t="str">
        <x:v>Issue</x:v>
      </x:c>
    </x:row>
    <x:row r="4">
      <x:c r="A4" s="20" t="str">
        <x:v>R001</x:v>
      </x:c>
      <x:c r="B4" s="21" t="n">
        <x:v>46257</x:v>
      </x:c>
      <x:c r="C4" s="20" t="str">
        <x:v>Revendeur</x:v>
      </x:c>
      <x:c r="D4" s="20" t="str">
        <x:v>J-102</x:v>
      </x:c>
      <x:c r="E4" s="20" t="str">
        <x:v>40</x:v>
      </x:c>
      <x:c r="F4" s="20" t="str">
        <x:v>Accessoire</x:v>
      </x:c>
      <x:c r="G4" s="20" t="str">
        <x:v>Bouton</x:v>
      </x:c>
      <x:c r="H4" s="20" t="str">
        <x:v>L26-06</x:v>
      </x:c>
      <x:c r="I4" s="20" t="str">
        <x:v>Atelier C</x:v>
      </x:c>
      <x:c r="J4" s="20" t="n">
        <x:v>6</x:v>
      </x:c>
      <x:c r="K4" s="22" t="n">
        <x:v>4</x:v>
      </x:c>
      <x:c r="L4" s="20" t="str">
        <x:v>Échange</x:v>
      </x:c>
    </x:row>
    <x:row r="5">
      <x:c r="A5" s="20" t="str">
        <x:v>R002</x:v>
      </x:c>
      <x:c r="B5" s="21" t="n">
        <x:v>46248</x:v>
      </x:c>
      <x:c r="C5" s="20" t="str">
        <x:v>Boutique 1083</x:v>
      </x:c>
      <x:c r="D5" s="20" t="str">
        <x:v>J-101</x:v>
      </x:c>
      <x:c r="E5" s="20" t="str">
        <x:v>40</x:v>
      </x:c>
      <x:c r="F5" s="20" t="str">
        <x:v>Couture</x:v>
      </x:c>
      <x:c r="G5" s="20" t="str">
        <x:v>Poche arrière décousue</x:v>
      </x:c>
      <x:c r="H5" s="20" t="str">
        <x:v>L26-08</x:v>
      </x:c>
      <x:c r="I5" s="20" t="str">
        <x:v>Atelier C</x:v>
      </x:c>
      <x:c r="J5" s="20" t="n">
        <x:v>2</x:v>
      </x:c>
      <x:c r="K5" s="22" t="n">
        <x:v>21.44</x:v>
      </x:c>
      <x:c r="L5" s="20" t="str">
        <x:v>Réparation</x:v>
      </x:c>
    </x:row>
    <x:row r="6">
      <x:c r="A6" s="20" t="str">
        <x:v>R003</x:v>
      </x:c>
      <x:c r="B6" s="21" t="n">
        <x:v>46244</x:v>
      </x:c>
      <x:c r="C6" s="20" t="str">
        <x:v>Site e-commerce</x:v>
      </x:c>
      <x:c r="D6" s="20" t="str">
        <x:v>CH-301</x:v>
      </x:c>
      <x:c r="E6" s="20" t="str">
        <x:v>38</x:v>
      </x:c>
      <x:c r="F6" s="20" t="str">
        <x:v>Couture</x:v>
      </x:c>
      <x:c r="G6" s="20" t="str">
        <x:v>Poche arrière décousue</x:v>
      </x:c>
      <x:c r="H6" s="20" t="str">
        <x:v>L26-09</x:v>
      </x:c>
      <x:c r="I6" s="20" t="str">
        <x:v>Atelier C</x:v>
      </x:c>
      <x:c r="J6" s="20" t="n">
        <x:v>7</x:v>
      </x:c>
      <x:c r="K6" s="22" t="n">
        <x:v>5.91</x:v>
      </x:c>
      <x:c r="L6" s="20" t="str">
        <x:v>Remboursement</x:v>
      </x:c>
    </x:row>
    <x:row r="7">
      <x:c r="A7" s="20" t="str">
        <x:v>R004</x:v>
      </x:c>
      <x:c r="B7" s="21" t="n">
        <x:v>46223</x:v>
      </x:c>
      <x:c r="C7" s="20" t="str">
        <x:v>Site e-commerce</x:v>
      </x:c>
      <x:c r="D7" s="20" t="str">
        <x:v>J-102</x:v>
      </x:c>
      <x:c r="E7" s="20" t="str">
        <x:v>36</x:v>
      </x:c>
      <x:c r="F7" s="20" t="str">
        <x:v>Accessoire</x:v>
      </x:c>
      <x:c r="G7" s="20" t="str">
        <x:v>Zip</x:v>
      </x:c>
      <x:c r="H7" s="20" t="str">
        <x:v>L26-08</x:v>
      </x:c>
      <x:c r="I7" s="20" t="str">
        <x:v>Atelier A</x:v>
      </x:c>
      <x:c r="J7" s="20" t="n">
        <x:v>7</x:v>
      </x:c>
      <x:c r="K7" s="22" t="n">
        <x:v>15.26</x:v>
      </x:c>
      <x:c r="L7" s="20" t="str">
        <x:v>Échange</x:v>
      </x:c>
    </x:row>
    <x:row r="8">
      <x:c r="A8" s="20" t="str">
        <x:v>R005</x:v>
      </x:c>
      <x:c r="B8" s="21" t="n">
        <x:v>46240</x:v>
      </x:c>
      <x:c r="C8" s="20" t="str">
        <x:v>Revendeur</x:v>
      </x:c>
      <x:c r="D8" s="20" t="str">
        <x:v>J-101</x:v>
      </x:c>
      <x:c r="E8" s="20" t="str">
        <x:v>36</x:v>
      </x:c>
      <x:c r="F8" s="20" t="str">
        <x:v>Couture</x:v>
      </x:c>
      <x:c r="G8" s="20" t="str">
        <x:v>Passant fragile</x:v>
      </x:c>
      <x:c r="H8" s="20" t="str">
        <x:v>L26-08</x:v>
      </x:c>
      <x:c r="I8" s="20" t="str">
        <x:v>Atelier C</x:v>
      </x:c>
      <x:c r="J8" s="20" t="n">
        <x:v>8</x:v>
      </x:c>
      <x:c r="K8" s="22" t="n">
        <x:v>7.05</x:v>
      </x:c>
      <x:c r="L8" s="20" t="str">
        <x:v>Réparation</x:v>
      </x:c>
    </x:row>
    <x:row r="9">
      <x:c r="A9" s="20" t="str">
        <x:v>R006</x:v>
      </x:c>
      <x:c r="B9" s="21" t="n">
        <x:v>46267</x:v>
      </x:c>
      <x:c r="C9" s="20" t="str">
        <x:v>Boutique 1083</x:v>
      </x:c>
      <x:c r="D9" s="20" t="str">
        <x:v>V-401</x:v>
      </x:c>
      <x:c r="E9" s="20" t="str">
        <x:v>36</x:v>
      </x:c>
      <x:c r="F9" s="20" t="str">
        <x:v>Taille / coupe</x:v>
      </x:c>
      <x:c r="G9" s="20" t="str">
        <x:v>Taille perçue trop petite</x:v>
      </x:c>
      <x:c r="H9" s="20" t="str">
        <x:v>L26-06</x:v>
      </x:c>
      <x:c r="I9" s="20" t="str">
        <x:v>Atelier B</x:v>
      </x:c>
      <x:c r="J9" s="20" t="n">
        <x:v>6</x:v>
      </x:c>
      <x:c r="K9" s="22" t="n">
        <x:v>11.32</x:v>
      </x:c>
      <x:c r="L9" s="20" t="str">
        <x:v>Réparation</x:v>
      </x:c>
    </x:row>
    <x:row r="10">
      <x:c r="A10" s="20" t="str">
        <x:v>R007</x:v>
      </x:c>
      <x:c r="B10" s="21" t="n">
        <x:v>46262</x:v>
      </x:c>
      <x:c r="C10" s="20" t="str">
        <x:v>Site e-commerce</x:v>
      </x:c>
      <x:c r="D10" s="20" t="str">
        <x:v>J-102</x:v>
      </x:c>
      <x:c r="E10" s="20" t="str">
        <x:v>36</x:v>
      </x:c>
      <x:c r="F10" s="20" t="str">
        <x:v>Finition / délavage</x:v>
      </x:c>
      <x:c r="G10" s="20" t="str">
        <x:v>Teinte perçue différente</x:v>
      </x:c>
      <x:c r="H10" s="20" t="str">
        <x:v>L26-09</x:v>
      </x:c>
      <x:c r="I10" s="20" t="str">
        <x:v>Atelier C</x:v>
      </x:c>
      <x:c r="J10" s="20" t="n">
        <x:v>1</x:v>
      </x:c>
      <x:c r="K10" s="22" t="n">
        <x:v>15.83</x:v>
      </x:c>
      <x:c r="L10" s="20" t="str">
        <x:v>Échange</x:v>
      </x:c>
    </x:row>
    <x:row r="11">
      <x:c r="A11" s="20" t="str">
        <x:v>R008</x:v>
      </x:c>
      <x:c r="B11" s="21" t="n">
        <x:v>46209</x:v>
      </x:c>
      <x:c r="C11" s="20" t="str">
        <x:v>Revendeur</x:v>
      </x:c>
      <x:c r="D11" s="20" t="str">
        <x:v>V-401</x:v>
      </x:c>
      <x:c r="E11" s="20" t="str">
        <x:v>40</x:v>
      </x:c>
      <x:c r="F11" s="20" t="str">
        <x:v>Finition / délavage</x:v>
      </x:c>
      <x:c r="G11" s="20" t="str">
        <x:v>Marque de finition</x:v>
      </x:c>
      <x:c r="H11" s="20" t="str">
        <x:v>L26-09</x:v>
      </x:c>
      <x:c r="I11" s="20" t="str">
        <x:v>Atelier D</x:v>
      </x:c>
      <x:c r="J11" s="20" t="n">
        <x:v>12</x:v>
      </x:c>
      <x:c r="K11" s="22" t="n">
        <x:v>29.26</x:v>
      </x:c>
      <x:c r="L11" s="20" t="str">
        <x:v>Échange</x:v>
      </x:c>
    </x:row>
    <x:row r="12">
      <x:c r="A12" s="20" t="str">
        <x:v>R009</x:v>
      </x:c>
      <x:c r="B12" s="21" t="n">
        <x:v>46251</x:v>
      </x:c>
      <x:c r="C12" s="20" t="str">
        <x:v>Revendeur</x:v>
      </x:c>
      <x:c r="D12" s="20" t="str">
        <x:v>J-201</x:v>
      </x:c>
      <x:c r="E12" s="20" t="str">
        <x:v>36</x:v>
      </x:c>
      <x:c r="F12" s="20" t="str">
        <x:v>Défaut matière</x:v>
      </x:c>
      <x:c r="G12" s="20" t="str">
        <x:v>Défaut visuel denim</x:v>
      </x:c>
      <x:c r="H12" s="20" t="str">
        <x:v>L26-09</x:v>
      </x:c>
      <x:c r="I12" s="20" t="str">
        <x:v>Atelier B</x:v>
      </x:c>
      <x:c r="J12" s="20" t="n">
        <x:v>7</x:v>
      </x:c>
      <x:c r="K12" s="22" t="n">
        <x:v>20.79</x:v>
      </x:c>
      <x:c r="L12" s="20" t="str">
        <x:v>Échange</x:v>
      </x:c>
    </x:row>
    <x:row r="13">
      <x:c r="A13" s="20" t="str">
        <x:v>R010</x:v>
      </x:c>
      <x:c r="B13" s="21" t="n">
        <x:v>46205</x:v>
      </x:c>
      <x:c r="C13" s="20" t="str">
        <x:v>Site e-commerce</x:v>
      </x:c>
      <x:c r="D13" s="20" t="str">
        <x:v>J-201</x:v>
      </x:c>
      <x:c r="E13" s="20" t="str">
        <x:v>42</x:v>
      </x:c>
      <x:c r="F13" s="20" t="str">
        <x:v>Accessoire</x:v>
      </x:c>
      <x:c r="G13" s="20" t="str">
        <x:v>Rivet</x:v>
      </x:c>
      <x:c r="H13" s="20" t="str">
        <x:v>L26-07</x:v>
      </x:c>
      <x:c r="I13" s="20" t="str">
        <x:v>Atelier D</x:v>
      </x:c>
      <x:c r="J13" s="20" t="n">
        <x:v>4</x:v>
      </x:c>
      <x:c r="K13" s="22" t="n">
        <x:v>32.68</x:v>
      </x:c>
      <x:c r="L13" s="20" t="str">
        <x:v>Réparation</x:v>
      </x:c>
    </x:row>
    <x:row r="14">
      <x:c r="A14" s="20" t="str">
        <x:v>R011</x:v>
      </x:c>
      <x:c r="B14" s="21" t="n">
        <x:v>46230</x:v>
      </x:c>
      <x:c r="C14" s="20" t="str">
        <x:v>Revendeur</x:v>
      </x:c>
      <x:c r="D14" s="20" t="str">
        <x:v>J-201</x:v>
      </x:c>
      <x:c r="E14" s="20" t="str">
        <x:v>42</x:v>
      </x:c>
      <x:c r="F14" s="20" t="str">
        <x:v>Accessoire</x:v>
      </x:c>
      <x:c r="G14" s="20" t="str">
        <x:v>Zip</x:v>
      </x:c>
      <x:c r="H14" s="20" t="str">
        <x:v>L26-08</x:v>
      </x:c>
      <x:c r="I14" s="20" t="str">
        <x:v>Atelier C</x:v>
      </x:c>
      <x:c r="J14" s="20" t="n">
        <x:v>9</x:v>
      </x:c>
      <x:c r="K14" s="22" t="n">
        <x:v>25.64</x:v>
      </x:c>
      <x:c r="L14" s="20" t="str">
        <x:v>Réparation</x:v>
      </x:c>
    </x:row>
    <x:row r="15">
      <x:c r="A15" s="20" t="str">
        <x:v>R012</x:v>
      </x:c>
      <x:c r="B15" s="21" t="n">
        <x:v>46279</x:v>
      </x:c>
      <x:c r="C15" s="20" t="str">
        <x:v>Site e-commerce</x:v>
      </x:c>
      <x:c r="D15" s="20" t="str">
        <x:v>V-401</x:v>
      </x:c>
      <x:c r="E15" s="20" t="str">
        <x:v>36</x:v>
      </x:c>
      <x:c r="F15" s="20" t="str">
        <x:v>Taille / coupe</x:v>
      </x:c>
      <x:c r="G15" s="20" t="str">
        <x:v>Longueur non conforme attente</x:v>
      </x:c>
      <x:c r="H15" s="20" t="str">
        <x:v>L26-08</x:v>
      </x:c>
      <x:c r="I15" s="20" t="str">
        <x:v>Atelier D</x:v>
      </x:c>
      <x:c r="J15" s="20" t="n">
        <x:v>6</x:v>
      </x:c>
      <x:c r="K15" s="22" t="n">
        <x:v>4.07</x:v>
      </x:c>
      <x:c r="L15" s="20" t="str">
        <x:v>Échange</x:v>
      </x:c>
    </x:row>
    <x:row r="16">
      <x:c r="A16" s="20" t="str">
        <x:v>R013</x:v>
      </x:c>
      <x:c r="B16" s="21" t="n">
        <x:v>46234</x:v>
      </x:c>
      <x:c r="C16" s="20" t="str">
        <x:v>Revendeur</x:v>
      </x:c>
      <x:c r="D16" s="20" t="str">
        <x:v>J-201</x:v>
      </x:c>
      <x:c r="E16" s="20" t="str">
        <x:v>42</x:v>
      </x:c>
      <x:c r="F16" s="20" t="str">
        <x:v>Autre</x:v>
      </x:c>
      <x:c r="G16" s="20" t="str">
        <x:v>Erreur de commande</x:v>
      </x:c>
      <x:c r="H16" s="20" t="str">
        <x:v>L26-08</x:v>
      </x:c>
      <x:c r="I16" s="20" t="str">
        <x:v>Atelier A</x:v>
      </x:c>
      <x:c r="J16" s="20" t="n">
        <x:v>7</x:v>
      </x:c>
      <x:c r="K16" s="22" t="n">
        <x:v>30.59</x:v>
      </x:c>
      <x:c r="L16" s="20" t="str">
        <x:v>Échange</x:v>
      </x:c>
    </x:row>
    <x:row r="17">
      <x:c r="A17" s="20" t="str">
        <x:v>R014</x:v>
      </x:c>
      <x:c r="B17" s="21" t="n">
        <x:v>46291</x:v>
      </x:c>
      <x:c r="C17" s="20" t="str">
        <x:v>Revendeur</x:v>
      </x:c>
      <x:c r="D17" s="20" t="str">
        <x:v>V-401</x:v>
      </x:c>
      <x:c r="E17" s="20" t="str">
        <x:v>46</x:v>
      </x:c>
      <x:c r="F17" s="20" t="str">
        <x:v>Autre</x:v>
      </x:c>
      <x:c r="G17" s="20" t="str">
        <x:v>Erreur de commande</x:v>
      </x:c>
      <x:c r="H17" s="20" t="str">
        <x:v>L26-07</x:v>
      </x:c>
      <x:c r="I17" s="20" t="str">
        <x:v>Atelier A</x:v>
      </x:c>
      <x:c r="J17" s="20" t="n">
        <x:v>9</x:v>
      </x:c>
      <x:c r="K17" s="22" t="n">
        <x:v>13.41</x:v>
      </x:c>
      <x:c r="L17" s="20" t="str">
        <x:v>Avoir revendeur</x:v>
      </x:c>
    </x:row>
    <x:row r="18">
      <x:c r="A18" s="20" t="str">
        <x:v>R015</x:v>
      </x:c>
      <x:c r="B18" s="21" t="n">
        <x:v>46225</x:v>
      </x:c>
      <x:c r="C18" s="20" t="str">
        <x:v>Site e-commerce</x:v>
      </x:c>
      <x:c r="D18" s="20" t="str">
        <x:v>V-401</x:v>
      </x:c>
      <x:c r="E18" s="20" t="str">
        <x:v>40</x:v>
      </x:c>
      <x:c r="F18" s="20" t="str">
        <x:v>Livraison / préparation</x:v>
      </x:c>
      <x:c r="G18" s="20" t="str">
        <x:v>Colis endommagé</x:v>
      </x:c>
      <x:c r="H18" s="20" t="str">
        <x:v>L26-08</x:v>
      </x:c>
      <x:c r="I18" s="20" t="str">
        <x:v>Atelier B</x:v>
      </x:c>
      <x:c r="J18" s="20" t="n">
        <x:v>6</x:v>
      </x:c>
      <x:c r="K18" s="22" t="n">
        <x:v>17.94</x:v>
      </x:c>
      <x:c r="L18" s="20" t="str">
        <x:v>Remboursement</x:v>
      </x:c>
    </x:row>
    <x:row r="19">
      <x:c r="A19" s="20" t="str">
        <x:v>R016</x:v>
      </x:c>
      <x:c r="B19" s="21" t="n">
        <x:v>46274</x:v>
      </x:c>
      <x:c r="C19" s="20" t="str">
        <x:v>Site e-commerce</x:v>
      </x:c>
      <x:c r="D19" s="20" t="str">
        <x:v>V-401</x:v>
      </x:c>
      <x:c r="E19" s="20" t="str">
        <x:v>46</x:v>
      </x:c>
      <x:c r="F19" s="20" t="str">
        <x:v>Livraison / préparation</x:v>
      </x:c>
      <x:c r="G19" s="20" t="str">
        <x:v>Mauvaise taille expédiée</x:v>
      </x:c>
      <x:c r="H19" s="20" t="str">
        <x:v>L26-07</x:v>
      </x:c>
      <x:c r="I19" s="20" t="str">
        <x:v>Atelier B</x:v>
      </x:c>
      <x:c r="J19" s="20" t="n">
        <x:v>4</x:v>
      </x:c>
      <x:c r="K19" s="22" t="n">
        <x:v>15.05</x:v>
      </x:c>
      <x:c r="L19" s="20" t="str">
        <x:v>Réparation</x:v>
      </x:c>
    </x:row>
    <x:row r="20">
      <x:c r="A20" s="20" t="str">
        <x:v>R017</x:v>
      </x:c>
      <x:c r="B20" s="21" t="n">
        <x:v>46286</x:v>
      </x:c>
      <x:c r="C20" s="20" t="str">
        <x:v>Boutique 1083</x:v>
      </x:c>
      <x:c r="D20" s="20" t="str">
        <x:v>V-401</x:v>
      </x:c>
      <x:c r="E20" s="20" t="str">
        <x:v>38</x:v>
      </x:c>
      <x:c r="F20" s="20" t="str">
        <x:v>Livraison / préparation</x:v>
      </x:c>
      <x:c r="G20" s="20" t="str">
        <x:v>Mauvaise taille expédiée</x:v>
      </x:c>
      <x:c r="H20" s="20" t="str">
        <x:v>L26-09</x:v>
      </x:c>
      <x:c r="I20" s="20" t="str">
        <x:v>Atelier B</x:v>
      </x:c>
      <x:c r="J20" s="20" t="n">
        <x:v>2</x:v>
      </x:c>
      <x:c r="K20" s="22" t="n">
        <x:v>17.32</x:v>
      </x:c>
      <x:c r="L20" s="20" t="str">
        <x:v>Échange</x:v>
      </x:c>
    </x:row>
    <x:row r="21">
      <x:c r="A21" s="20" t="str">
        <x:v>R018</x:v>
      </x:c>
      <x:c r="B21" s="21" t="n">
        <x:v>46251</x:v>
      </x:c>
      <x:c r="C21" s="20" t="str">
        <x:v>Site e-commerce</x:v>
      </x:c>
      <x:c r="D21" s="20" t="str">
        <x:v>J-102</x:v>
      </x:c>
      <x:c r="E21" s="20" t="str">
        <x:v>42</x:v>
      </x:c>
      <x:c r="F21" s="20" t="str">
        <x:v>Défaut matière</x:v>
      </x:c>
      <x:c r="G21" s="20" t="str">
        <x:v>Défaut visuel denim</x:v>
      </x:c>
      <x:c r="H21" s="20" t="str">
        <x:v>L26-09</x:v>
      </x:c>
      <x:c r="I21" s="20" t="str">
        <x:v>Atelier C</x:v>
      </x:c>
      <x:c r="J21" s="20" t="n">
        <x:v>5</x:v>
      </x:c>
      <x:c r="K21" s="22" t="n">
        <x:v>20.56</x:v>
      </x:c>
      <x:c r="L21" s="20" t="str">
        <x:v>Échange</x:v>
      </x:c>
    </x:row>
    <x:row r="22">
      <x:c r="A22" s="20" t="str">
        <x:v>R019</x:v>
      </x:c>
      <x:c r="B22" s="21" t="n">
        <x:v>46290</x:v>
      </x:c>
      <x:c r="C22" s="20" t="str">
        <x:v>Revendeur</x:v>
      </x:c>
      <x:c r="D22" s="20" t="str">
        <x:v>CH-301</x:v>
      </x:c>
      <x:c r="E22" s="20" t="str">
        <x:v>36</x:v>
      </x:c>
      <x:c r="F22" s="20" t="str">
        <x:v>Finition / délavage</x:v>
      </x:c>
      <x:c r="G22" s="20" t="str">
        <x:v>Marque de finition</x:v>
      </x:c>
      <x:c r="H22" s="20" t="str">
        <x:v>L26-09</x:v>
      </x:c>
      <x:c r="I22" s="20" t="str">
        <x:v>Atelier A</x:v>
      </x:c>
      <x:c r="J22" s="20" t="n">
        <x:v>10</x:v>
      </x:c>
      <x:c r="K22" s="22" t="n">
        <x:v>21.08</x:v>
      </x:c>
      <x:c r="L22" s="20" t="str">
        <x:v>Échange</x:v>
      </x:c>
    </x:row>
    <x:row r="23">
      <x:c r="A23" s="20" t="str">
        <x:v>R020</x:v>
      </x:c>
      <x:c r="B23" s="21" t="n">
        <x:v>46291</x:v>
      </x:c>
      <x:c r="C23" s="20" t="str">
        <x:v>Site e-commerce</x:v>
      </x:c>
      <x:c r="D23" s="20" t="str">
        <x:v>J-101</x:v>
      </x:c>
      <x:c r="E23" s="20" t="str">
        <x:v>42</x:v>
      </x:c>
      <x:c r="F23" s="20" t="str">
        <x:v>Couture</x:v>
      </x:c>
      <x:c r="G23" s="20" t="str">
        <x:v>Poche arrière décousue</x:v>
      </x:c>
      <x:c r="H23" s="20" t="str">
        <x:v>L26-08</x:v>
      </x:c>
      <x:c r="I23" s="20" t="str">
        <x:v>Atelier C</x:v>
      </x:c>
      <x:c r="J23" s="20" t="n">
        <x:v>4</x:v>
      </x:c>
      <x:c r="K23" s="22" t="n">
        <x:v>16.25</x:v>
      </x:c>
      <x:c r="L23" s="20" t="str">
        <x:v>Réparation</x:v>
      </x:c>
    </x:row>
    <x:row r="24">
      <x:c r="A24" s="20" t="str">
        <x:v>R021</x:v>
      </x:c>
      <x:c r="B24" s="21" t="n">
        <x:v>46223</x:v>
      </x:c>
      <x:c r="C24" s="20" t="str">
        <x:v>Site e-commerce</x:v>
      </x:c>
      <x:c r="D24" s="20" t="str">
        <x:v>V-401</x:v>
      </x:c>
      <x:c r="E24" s="20" t="str">
        <x:v>36</x:v>
      </x:c>
      <x:c r="F24" s="20" t="str">
        <x:v>Taille / coupe</x:v>
      </x:c>
      <x:c r="G24" s="20" t="str">
        <x:v>Coupe différente du modèle essayé</x:v>
      </x:c>
      <x:c r="H24" s="20" t="str">
        <x:v>L26-08</x:v>
      </x:c>
      <x:c r="I24" s="20" t="str">
        <x:v>Atelier D</x:v>
      </x:c>
      <x:c r="J24" s="20" t="n">
        <x:v>9</x:v>
      </x:c>
      <x:c r="K24" s="22" t="n">
        <x:v>24.75</x:v>
      </x:c>
      <x:c r="L24" s="20" t="str">
        <x:v>Échange</x:v>
      </x:c>
    </x:row>
    <x:row r="25">
      <x:c r="A25" s="20" t="str">
        <x:v>R022</x:v>
      </x:c>
      <x:c r="B25" s="21" t="n">
        <x:v>46278</x:v>
      </x:c>
      <x:c r="C25" s="20" t="str">
        <x:v>Site e-commerce</x:v>
      </x:c>
      <x:c r="D25" s="20" t="str">
        <x:v>J-101</x:v>
      </x:c>
      <x:c r="E25" s="20" t="str">
        <x:v>38</x:v>
      </x:c>
      <x:c r="F25" s="20" t="str">
        <x:v>Taille / coupe</x:v>
      </x:c>
      <x:c r="G25" s="20" t="str">
        <x:v>Coupe différente du modèle essayé</x:v>
      </x:c>
      <x:c r="H25" s="20" t="str">
        <x:v>L26-07</x:v>
      </x:c>
      <x:c r="I25" s="20" t="str">
        <x:v>Atelier D</x:v>
      </x:c>
      <x:c r="J25" s="20" t="n">
        <x:v>6</x:v>
      </x:c>
      <x:c r="K25" s="22" t="n">
        <x:v>4</x:v>
      </x:c>
      <x:c r="L25" s="20" t="str">
        <x:v>Remboursement</x:v>
      </x:c>
    </x:row>
    <x:row r="26">
      <x:c r="A26" s="20" t="str">
        <x:v>R023</x:v>
      </x:c>
      <x:c r="B26" s="21" t="n">
        <x:v>46261</x:v>
      </x:c>
      <x:c r="C26" s="20" t="str">
        <x:v>Site e-commerce</x:v>
      </x:c>
      <x:c r="D26" s="20" t="str">
        <x:v>J-201</x:v>
      </x:c>
      <x:c r="E26" s="20" t="str">
        <x:v>46</x:v>
      </x:c>
      <x:c r="F26" s="20" t="str">
        <x:v>Taille / coupe</x:v>
      </x:c>
      <x:c r="G26" s="20" t="str">
        <x:v>Coupe différente du modèle essayé</x:v>
      </x:c>
      <x:c r="H26" s="20" t="str">
        <x:v>L26-08</x:v>
      </x:c>
      <x:c r="I26" s="20" t="str">
        <x:v>Atelier C</x:v>
      </x:c>
      <x:c r="J26" s="20" t="n">
        <x:v>7</x:v>
      </x:c>
      <x:c r="K26" s="22" t="n">
        <x:v>12.61</x:v>
      </x:c>
      <x:c r="L26" s="20" t="str">
        <x:v>Échange</x:v>
      </x:c>
    </x:row>
    <x:row r="27">
      <x:c r="A27" s="20" t="str">
        <x:v>R024</x:v>
      </x:c>
      <x:c r="B27" s="21" t="n">
        <x:v>46211</x:v>
      </x:c>
      <x:c r="C27" s="20" t="str">
        <x:v>Site e-commerce</x:v>
      </x:c>
      <x:c r="D27" s="20" t="str">
        <x:v>V-401</x:v>
      </x:c>
      <x:c r="E27" s="20" t="str">
        <x:v>46</x:v>
      </x:c>
      <x:c r="F27" s="20" t="str">
        <x:v>Taille / coupe</x:v>
      </x:c>
      <x:c r="G27" s="20" t="str">
        <x:v>Longueur non conforme attente</x:v>
      </x:c>
      <x:c r="H27" s="20" t="str">
        <x:v>L26-06</x:v>
      </x:c>
      <x:c r="I27" s="20" t="str">
        <x:v>Atelier C</x:v>
      </x:c>
      <x:c r="J27" s="20" t="n">
        <x:v>3</x:v>
      </x:c>
      <x:c r="K27" s="22" t="n">
        <x:v>24.2</x:v>
      </x:c>
      <x:c r="L27" s="20" t="str">
        <x:v>Échange</x:v>
      </x:c>
    </x:row>
    <x:row r="28">
      <x:c r="A28" s="20" t="str">
        <x:v>R025</x:v>
      </x:c>
      <x:c r="B28" s="21" t="n">
        <x:v>46263</x:v>
      </x:c>
      <x:c r="C28" s="20" t="str">
        <x:v>Site e-commerce</x:v>
      </x:c>
      <x:c r="D28" s="20" t="str">
        <x:v>CH-301</x:v>
      </x:c>
      <x:c r="E28" s="20" t="str">
        <x:v>36</x:v>
      </x:c>
      <x:c r="F28" s="20" t="str">
        <x:v>Finition / délavage</x:v>
      </x:c>
      <x:c r="G28" s="20" t="str">
        <x:v>Marque de finition</x:v>
      </x:c>
      <x:c r="H28" s="20" t="str">
        <x:v>L26-08</x:v>
      </x:c>
      <x:c r="I28" s="20" t="str">
        <x:v>Atelier C</x:v>
      </x:c>
      <x:c r="J28" s="20" t="n">
        <x:v>1</x:v>
      </x:c>
      <x:c r="K28" s="22" t="n">
        <x:v>26.97</x:v>
      </x:c>
      <x:c r="L28" s="20" t="str">
        <x:v>Échange</x:v>
      </x:c>
    </x:row>
    <x:row r="29">
      <x:c r="A29" s="20" t="str">
        <x:v>R026</x:v>
      </x:c>
      <x:c r="B29" s="21" t="n">
        <x:v>46237</x:v>
      </x:c>
      <x:c r="C29" s="20" t="str">
        <x:v>Revendeur</x:v>
      </x:c>
      <x:c r="D29" s="20" t="str">
        <x:v>V-401</x:v>
      </x:c>
      <x:c r="E29" s="20" t="str">
        <x:v>46</x:v>
      </x:c>
      <x:c r="F29" s="20" t="str">
        <x:v>Livraison / préparation</x:v>
      </x:c>
      <x:c r="G29" s="20" t="str">
        <x:v>Article manquant</x:v>
      </x:c>
      <x:c r="H29" s="20" t="str">
        <x:v>L26-08</x:v>
      </x:c>
      <x:c r="I29" s="20" t="str">
        <x:v>Atelier D</x:v>
      </x:c>
      <x:c r="J29" s="20" t="n">
        <x:v>10</x:v>
      </x:c>
      <x:c r="K29" s="22" t="n">
        <x:v>16.94</x:v>
      </x:c>
      <x:c r="L29" s="20" t="str">
        <x:v>Échange</x:v>
      </x:c>
    </x:row>
    <x:row r="30">
      <x:c r="A30" s="20" t="str">
        <x:v>R027</x:v>
      </x:c>
      <x:c r="B30" s="21" t="n">
        <x:v>46208</x:v>
      </x:c>
      <x:c r="C30" s="20" t="str">
        <x:v>Site e-commerce</x:v>
      </x:c>
      <x:c r="D30" s="20" t="str">
        <x:v>J-102</x:v>
      </x:c>
      <x:c r="E30" s="20" t="str">
        <x:v>42</x:v>
      </x:c>
      <x:c r="F30" s="20" t="str">
        <x:v>Livraison / préparation</x:v>
      </x:c>
      <x:c r="G30" s="20" t="str">
        <x:v>Colis endommagé</x:v>
      </x:c>
      <x:c r="H30" s="20" t="str">
        <x:v>L26-09</x:v>
      </x:c>
      <x:c r="I30" s="20" t="str">
        <x:v>Atelier C</x:v>
      </x:c>
      <x:c r="J30" s="20" t="n">
        <x:v>1</x:v>
      </x:c>
      <x:c r="K30" s="22" t="n">
        <x:v>11.71</x:v>
      </x:c>
      <x:c r="L30" s="20" t="str">
        <x:v>Avoir revendeur</x:v>
      </x:c>
    </x:row>
    <x:row r="31">
      <x:c r="A31" s="20" t="str">
        <x:v>R028</x:v>
      </x:c>
      <x:c r="B31" s="21" t="n">
        <x:v>46269</x:v>
      </x:c>
      <x:c r="C31" s="20" t="str">
        <x:v>Site e-commerce</x:v>
      </x:c>
      <x:c r="D31" s="20" t="str">
        <x:v>J-201</x:v>
      </x:c>
      <x:c r="E31" s="20" t="str">
        <x:v>38</x:v>
      </x:c>
      <x:c r="F31" s="20" t="str">
        <x:v>Taille / coupe</x:v>
      </x:c>
      <x:c r="G31" s="20" t="str">
        <x:v>Taille perçue trop petite</x:v>
      </x:c>
      <x:c r="H31" s="20" t="str">
        <x:v>L26-08</x:v>
      </x:c>
      <x:c r="I31" s="20" t="str">
        <x:v>Atelier D</x:v>
      </x:c>
      <x:c r="J31" s="20" t="n">
        <x:v>12</x:v>
      </x:c>
      <x:c r="K31" s="22" t="n">
        <x:v>12.76</x:v>
      </x:c>
      <x:c r="L31" s="20" t="str">
        <x:v>Remboursement</x:v>
      </x:c>
    </x:row>
    <x:row r="32">
      <x:c r="A32" s="20" t="str">
        <x:v>R029</x:v>
      </x:c>
      <x:c r="B32" s="21" t="n">
        <x:v>46241</x:v>
      </x:c>
      <x:c r="C32" s="20" t="str">
        <x:v>Revendeur</x:v>
      </x:c>
      <x:c r="D32" s="20" t="str">
        <x:v>CH-301</x:v>
      </x:c>
      <x:c r="E32" s="20" t="str">
        <x:v>40</x:v>
      </x:c>
      <x:c r="F32" s="20" t="str">
        <x:v>Défaut matière</x:v>
      </x:c>
      <x:c r="G32" s="20" t="str">
        <x:v>Élasticité</x:v>
      </x:c>
      <x:c r="H32" s="20" t="str">
        <x:v>L26-09</x:v>
      </x:c>
      <x:c r="I32" s="20" t="str">
        <x:v>Atelier A</x:v>
      </x:c>
      <x:c r="J32" s="20" t="n">
        <x:v>5</x:v>
      </x:c>
      <x:c r="K32" s="22" t="n">
        <x:v>31.22</x:v>
      </x:c>
      <x:c r="L32" s="20" t="str">
        <x:v>Réparation</x:v>
      </x:c>
    </x:row>
    <x:row r="33">
      <x:c r="A33" s="20" t="str">
        <x:v>R030</x:v>
      </x:c>
      <x:c r="B33" s="21" t="n">
        <x:v>46252</x:v>
      </x:c>
      <x:c r="C33" s="20" t="str">
        <x:v>Site e-commerce</x:v>
      </x:c>
      <x:c r="D33" s="20" t="str">
        <x:v>J-101</x:v>
      </x:c>
      <x:c r="E33" s="20" t="str">
        <x:v>46</x:v>
      </x:c>
      <x:c r="F33" s="20" t="str">
        <x:v>Couture</x:v>
      </x:c>
      <x:c r="G33" s="20" t="str">
        <x:v>Passant fragile</x:v>
      </x:c>
      <x:c r="H33" s="20" t="str">
        <x:v>L26-08</x:v>
      </x:c>
      <x:c r="I33" s="20" t="str">
        <x:v>Atelier A</x:v>
      </x:c>
      <x:c r="J33" s="20" t="n">
        <x:v>7</x:v>
      </x:c>
      <x:c r="K33" s="22" t="n">
        <x:v>20.43</x:v>
      </x:c>
      <x:c r="L33" s="20" t="str">
        <x:v>Échange</x:v>
      </x:c>
    </x:row>
    <x:row r="34">
      <x:c r="A34" s="20" t="str">
        <x:v>R031</x:v>
      </x:c>
      <x:c r="B34" s="21" t="n">
        <x:v>46265</x:v>
      </x:c>
      <x:c r="C34" s="20" t="str">
        <x:v>Boutique 1083</x:v>
      </x:c>
      <x:c r="D34" s="20" t="str">
        <x:v>CH-301</x:v>
      </x:c>
      <x:c r="E34" s="20" t="str">
        <x:v>44</x:v>
      </x:c>
      <x:c r="F34" s="20" t="str">
        <x:v>Livraison / préparation</x:v>
      </x:c>
      <x:c r="G34" s="20" t="str">
        <x:v>Colis endommagé</x:v>
      </x:c>
      <x:c r="H34" s="20" t="str">
        <x:v>L26-09</x:v>
      </x:c>
      <x:c r="I34" s="20" t="str">
        <x:v>Atelier B</x:v>
      </x:c>
      <x:c r="J34" s="20" t="n">
        <x:v>5</x:v>
      </x:c>
      <x:c r="K34" s="22" t="n">
        <x:v>17.41</x:v>
      </x:c>
      <x:c r="L34" s="20" t="str">
        <x:v>Échange</x:v>
      </x:c>
    </x:row>
    <x:row r="35">
      <x:c r="A35" s="20" t="str">
        <x:v>R032</x:v>
      </x:c>
      <x:c r="B35" s="21" t="n">
        <x:v>46277</x:v>
      </x:c>
      <x:c r="C35" s="20" t="str">
        <x:v>Site e-commerce</x:v>
      </x:c>
      <x:c r="D35" s="20" t="str">
        <x:v>J-101</x:v>
      </x:c>
      <x:c r="E35" s="20" t="str">
        <x:v>44</x:v>
      </x:c>
      <x:c r="F35" s="20" t="str">
        <x:v>Taille / coupe</x:v>
      </x:c>
      <x:c r="G35" s="20" t="str">
        <x:v>Taille perçue trop petite</x:v>
      </x:c>
      <x:c r="H35" s="20" t="str">
        <x:v>L26-06</x:v>
      </x:c>
      <x:c r="I35" s="20" t="str">
        <x:v>Atelier B</x:v>
      </x:c>
      <x:c r="J35" s="20" t="n">
        <x:v>6</x:v>
      </x:c>
      <x:c r="K35" s="22" t="n">
        <x:v>9.69</x:v>
      </x:c>
      <x:c r="L35" s="20" t="str">
        <x:v>Échange</x:v>
      </x:c>
    </x:row>
    <x:row r="36">
      <x:c r="A36" s="20" t="str">
        <x:v>R033</x:v>
      </x:c>
      <x:c r="B36" s="21" t="n">
        <x:v>46259</x:v>
      </x:c>
      <x:c r="C36" s="20" t="str">
        <x:v>Boutique 1083</x:v>
      </x:c>
      <x:c r="D36" s="20" t="str">
        <x:v>J-201</x:v>
      </x:c>
      <x:c r="E36" s="20" t="str">
        <x:v>36</x:v>
      </x:c>
      <x:c r="F36" s="20" t="str">
        <x:v>Taille / coupe</x:v>
      </x:c>
      <x:c r="G36" s="20" t="str">
        <x:v>Taille perçue trop petite</x:v>
      </x:c>
      <x:c r="H36" s="20" t="str">
        <x:v>L26-06</x:v>
      </x:c>
      <x:c r="I36" s="20" t="str">
        <x:v>Atelier C</x:v>
      </x:c>
      <x:c r="J36" s="20" t="n">
        <x:v>4</x:v>
      </x:c>
      <x:c r="K36" s="22" t="n">
        <x:v>21.37</x:v>
      </x:c>
      <x:c r="L36" s="20" t="str">
        <x:v>Avoir revendeur</x:v>
      </x:c>
    </x:row>
    <x:row r="37">
      <x:c r="A37" s="20" t="str">
        <x:v>R034</x:v>
      </x:c>
      <x:c r="B37" s="21" t="n">
        <x:v>46223</x:v>
      </x:c>
      <x:c r="C37" s="20" t="str">
        <x:v>Revendeur</x:v>
      </x:c>
      <x:c r="D37" s="20" t="str">
        <x:v>J-102</x:v>
      </x:c>
      <x:c r="E37" s="20" t="str">
        <x:v>36</x:v>
      </x:c>
      <x:c r="F37" s="20" t="str">
        <x:v>Livraison / préparation</x:v>
      </x:c>
      <x:c r="G37" s="20" t="str">
        <x:v>Mauvaise taille expédiée</x:v>
      </x:c>
      <x:c r="H37" s="20" t="str">
        <x:v>L26-08</x:v>
      </x:c>
      <x:c r="I37" s="20" t="str">
        <x:v>Atelier C</x:v>
      </x:c>
      <x:c r="J37" s="20" t="n">
        <x:v>5</x:v>
      </x:c>
      <x:c r="K37" s="22" t="n">
        <x:v>15.14</x:v>
      </x:c>
      <x:c r="L37" s="20" t="str">
        <x:v>Remboursement</x:v>
      </x:c>
    </x:row>
    <x:row r="38">
      <x:c r="A38" s="20" t="str">
        <x:v>R035</x:v>
      </x:c>
      <x:c r="B38" s="21" t="n">
        <x:v>46228</x:v>
      </x:c>
      <x:c r="C38" s="20" t="str">
        <x:v>Revendeur</x:v>
      </x:c>
      <x:c r="D38" s="20" t="str">
        <x:v>CH-301</x:v>
      </x:c>
      <x:c r="E38" s="20" t="str">
        <x:v>38</x:v>
      </x:c>
      <x:c r="F38" s="20" t="str">
        <x:v>Taille / coupe</x:v>
      </x:c>
      <x:c r="G38" s="20" t="str">
        <x:v>Taille perçue trop petite</x:v>
      </x:c>
      <x:c r="H38" s="20" t="str">
        <x:v>L26-06</x:v>
      </x:c>
      <x:c r="I38" s="20" t="str">
        <x:v>Atelier B</x:v>
      </x:c>
      <x:c r="J38" s="20" t="n">
        <x:v>12</x:v>
      </x:c>
      <x:c r="K38" s="22" t="n">
        <x:v>20.64</x:v>
      </x:c>
      <x:c r="L38" s="20" t="str">
        <x:v>Échange</x:v>
      </x:c>
    </x:row>
    <x:row r="39">
      <x:c r="A39" s="20" t="str">
        <x:v>R036</x:v>
      </x:c>
      <x:c r="B39" s="21" t="n">
        <x:v>46219</x:v>
      </x:c>
      <x:c r="C39" s="20" t="str">
        <x:v>Site e-commerce</x:v>
      </x:c>
      <x:c r="D39" s="20" t="str">
        <x:v>J-101</x:v>
      </x:c>
      <x:c r="E39" s="20" t="str">
        <x:v>42</x:v>
      </x:c>
      <x:c r="F39" s="20" t="str">
        <x:v>Défaut matière</x:v>
      </x:c>
      <x:c r="G39" s="20" t="str">
        <x:v>Accroc tissu</x:v>
      </x:c>
      <x:c r="H39" s="20" t="str">
        <x:v>L26-09</x:v>
      </x:c>
      <x:c r="I39" s="20" t="str">
        <x:v>Atelier C</x:v>
      </x:c>
      <x:c r="J39" s="20" t="n">
        <x:v>5</x:v>
      </x:c>
      <x:c r="K39" s="22" t="n">
        <x:v>24.02</x:v>
      </x:c>
      <x:c r="L39" s="20" t="str">
        <x:v>Remboursement</x:v>
      </x:c>
    </x:row>
    <x:row r="40">
      <x:c r="A40" s="20" t="str">
        <x:v>R037</x:v>
      </x:c>
      <x:c r="B40" s="21" t="n">
        <x:v>46292</x:v>
      </x:c>
      <x:c r="C40" s="20" t="str">
        <x:v>Site e-commerce</x:v>
      </x:c>
      <x:c r="D40" s="20" t="str">
        <x:v>J-101</x:v>
      </x:c>
      <x:c r="E40" s="20" t="str">
        <x:v>42</x:v>
      </x:c>
      <x:c r="F40" s="20" t="str">
        <x:v>Couture</x:v>
      </x:c>
      <x:c r="G40" s="20" t="str">
        <x:v>Passant fragile</x:v>
      </x:c>
      <x:c r="H40" s="20" t="str">
        <x:v>L26-08</x:v>
      </x:c>
      <x:c r="I40" s="20" t="str">
        <x:v>Atelier C</x:v>
      </x:c>
      <x:c r="J40" s="20" t="n">
        <x:v>1</x:v>
      </x:c>
      <x:c r="K40" s="22" t="n">
        <x:v>37.74</x:v>
      </x:c>
      <x:c r="L40" s="20" t="str">
        <x:v>Échange</x:v>
      </x:c>
    </x:row>
    <x:row r="41">
      <x:c r="A41" s="20" t="str">
        <x:v>R038</x:v>
      </x:c>
      <x:c r="B41" s="21" t="n">
        <x:v>46271</x:v>
      </x:c>
      <x:c r="C41" s="20" t="str">
        <x:v>Site e-commerce</x:v>
      </x:c>
      <x:c r="D41" s="20" t="str">
        <x:v>J-102</x:v>
      </x:c>
      <x:c r="E41" s="20" t="str">
        <x:v>38</x:v>
      </x:c>
      <x:c r="F41" s="20" t="str">
        <x:v>Accessoire</x:v>
      </x:c>
      <x:c r="G41" s="20" t="str">
        <x:v>Bouton</x:v>
      </x:c>
      <x:c r="H41" s="20" t="str">
        <x:v>L26-08</x:v>
      </x:c>
      <x:c r="I41" s="20" t="str">
        <x:v>Atelier C</x:v>
      </x:c>
      <x:c r="J41" s="20" t="n">
        <x:v>4</x:v>
      </x:c>
      <x:c r="K41" s="22" t="n">
        <x:v>27.25</x:v>
      </x:c>
      <x:c r="L41" s="20" t="str">
        <x:v>Remboursement</x:v>
      </x:c>
    </x:row>
    <x:row r="42">
      <x:c r="A42" s="20" t="str">
        <x:v>R039</x:v>
      </x:c>
      <x:c r="B42" s="21" t="n">
        <x:v>46219</x:v>
      </x:c>
      <x:c r="C42" s="20" t="str">
        <x:v>Site e-commerce</x:v>
      </x:c>
      <x:c r="D42" s="20" t="str">
        <x:v>J-101</x:v>
      </x:c>
      <x:c r="E42" s="20" t="str">
        <x:v>40</x:v>
      </x:c>
      <x:c r="F42" s="20" t="str">
        <x:v>Accessoire</x:v>
      </x:c>
      <x:c r="G42" s="20" t="str">
        <x:v>Rivet</x:v>
      </x:c>
      <x:c r="H42" s="20" t="str">
        <x:v>L26-08</x:v>
      </x:c>
      <x:c r="I42" s="20" t="str">
        <x:v>Atelier D</x:v>
      </x:c>
      <x:c r="J42" s="20" t="n">
        <x:v>7</x:v>
      </x:c>
      <x:c r="K42" s="22" t="n">
        <x:v>25.75</x:v>
      </x:c>
      <x:c r="L42" s="20" t="str">
        <x:v>Échange</x:v>
      </x:c>
    </x:row>
    <x:row r="43">
      <x:c r="A43" s="20" t="str">
        <x:v>R040</x:v>
      </x:c>
      <x:c r="B43" s="21" t="n">
        <x:v>46274</x:v>
      </x:c>
      <x:c r="C43" s="20" t="str">
        <x:v>Site e-commerce</x:v>
      </x:c>
      <x:c r="D43" s="20" t="str">
        <x:v>J-102</x:v>
      </x:c>
      <x:c r="E43" s="20" t="str">
        <x:v>42</x:v>
      </x:c>
      <x:c r="F43" s="20" t="str">
        <x:v>Autre</x:v>
      </x:c>
      <x:c r="G43" s="20" t="str">
        <x:v>Non précisé</x:v>
      </x:c>
      <x:c r="H43" s="20" t="str">
        <x:v>L26-09</x:v>
      </x:c>
      <x:c r="I43" s="20" t="str">
        <x:v>Atelier A</x:v>
      </x:c>
      <x:c r="J43" s="20" t="n">
        <x:v>8</x:v>
      </x:c>
      <x:c r="K43" s="22" t="n">
        <x:v>29.87</x:v>
      </x:c>
      <x:c r="L43" s="20" t="str">
        <x:v>Échange</x:v>
      </x:c>
    </x:row>
    <x:row r="44">
      <x:c r="A44" s="20" t="str">
        <x:v>R041</x:v>
      </x:c>
      <x:c r="B44" s="21" t="n">
        <x:v>46269</x:v>
      </x:c>
      <x:c r="C44" s="20" t="str">
        <x:v>Site e-commerce</x:v>
      </x:c>
      <x:c r="D44" s="20" t="str">
        <x:v>V-401</x:v>
      </x:c>
      <x:c r="E44" s="20" t="str">
        <x:v>42</x:v>
      </x:c>
      <x:c r="F44" s="20" t="str">
        <x:v>Taille / coupe</x:v>
      </x:c>
      <x:c r="G44" s="20" t="str">
        <x:v>Taille perçue trop petite</x:v>
      </x:c>
      <x:c r="H44" s="20" t="str">
        <x:v>L26-09</x:v>
      </x:c>
      <x:c r="I44" s="20" t="str">
        <x:v>Atelier D</x:v>
      </x:c>
      <x:c r="J44" s="20" t="n">
        <x:v>6</x:v>
      </x:c>
      <x:c r="K44" s="22" t="n">
        <x:v>10.17</x:v>
      </x:c>
      <x:c r="L44" s="20" t="str">
        <x:v>Échange</x:v>
      </x:c>
    </x:row>
    <x:row r="45">
      <x:c r="A45" s="20" t="str">
        <x:v>R042</x:v>
      </x:c>
      <x:c r="B45" s="21" t="n">
        <x:v>46291</x:v>
      </x:c>
      <x:c r="C45" s="20" t="str">
        <x:v>Site e-commerce</x:v>
      </x:c>
      <x:c r="D45" s="20" t="str">
        <x:v>J-102</x:v>
      </x:c>
      <x:c r="E45" s="20" t="str">
        <x:v>42</x:v>
      </x:c>
      <x:c r="F45" s="20" t="str">
        <x:v>Couture</x:v>
      </x:c>
      <x:c r="G45" s="20" t="str">
        <x:v>Poche arrière décousue</x:v>
      </x:c>
      <x:c r="H45" s="20" t="str">
        <x:v>L26-08</x:v>
      </x:c>
      <x:c r="I45" s="20" t="str">
        <x:v>Atelier D</x:v>
      </x:c>
      <x:c r="J45" s="20" t="n">
        <x:v>1</x:v>
      </x:c>
      <x:c r="K45" s="22" t="n">
        <x:v>33.96</x:v>
      </x:c>
      <x:c r="L45" s="20" t="str">
        <x:v>Réparation</x:v>
      </x:c>
    </x:row>
    <x:row r="46">
      <x:c r="A46" s="20" t="str">
        <x:v>R043</x:v>
      </x:c>
      <x:c r="B46" s="21" t="n">
        <x:v>46242</x:v>
      </x:c>
      <x:c r="C46" s="20" t="str">
        <x:v>Site e-commerce</x:v>
      </x:c>
      <x:c r="D46" s="20" t="str">
        <x:v>J-101</x:v>
      </x:c>
      <x:c r="E46" s="20" t="str">
        <x:v>46</x:v>
      </x:c>
      <x:c r="F46" s="20" t="str">
        <x:v>Couture</x:v>
      </x:c>
      <x:c r="G46" s="20" t="str">
        <x:v>Surpiqûre irrégulière</x:v>
      </x:c>
      <x:c r="H46" s="20" t="str">
        <x:v>L26-08</x:v>
      </x:c>
      <x:c r="I46" s="20" t="str">
        <x:v>Atelier C</x:v>
      </x:c>
      <x:c r="J46" s="20" t="n">
        <x:v>4</x:v>
      </x:c>
      <x:c r="K46" s="22" t="n">
        <x:v>23.95</x:v>
      </x:c>
      <x:c r="L46" s="20" t="str">
        <x:v>Remboursement</x:v>
      </x:c>
    </x:row>
    <x:row r="47">
      <x:c r="A47" s="20" t="str">
        <x:v>R044</x:v>
      </x:c>
      <x:c r="B47" s="21" t="n">
        <x:v>46263</x:v>
      </x:c>
      <x:c r="C47" s="20" t="str">
        <x:v>Site e-commerce</x:v>
      </x:c>
      <x:c r="D47" s="20" t="str">
        <x:v>V-401</x:v>
      </x:c>
      <x:c r="E47" s="20" t="str">
        <x:v>44</x:v>
      </x:c>
      <x:c r="F47" s="20" t="str">
        <x:v>Taille / coupe</x:v>
      </x:c>
      <x:c r="G47" s="20" t="str">
        <x:v>Longueur non conforme attente</x:v>
      </x:c>
      <x:c r="H47" s="20" t="str">
        <x:v>L26-07</x:v>
      </x:c>
      <x:c r="I47" s="20" t="str">
        <x:v>Atelier A</x:v>
      </x:c>
      <x:c r="J47" s="20" t="n">
        <x:v>3</x:v>
      </x:c>
      <x:c r="K47" s="22" t="n">
        <x:v>25.34</x:v>
      </x:c>
      <x:c r="L47" s="20" t="str">
        <x:v>Échange</x:v>
      </x:c>
    </x:row>
    <x:row r="48">
      <x:c r="A48" s="20" t="str">
        <x:v>R045</x:v>
      </x:c>
      <x:c r="B48" s="21" t="n">
        <x:v>46229</x:v>
      </x:c>
      <x:c r="C48" s="20" t="str">
        <x:v>Site e-commerce</x:v>
      </x:c>
      <x:c r="D48" s="20" t="str">
        <x:v>J-101</x:v>
      </x:c>
      <x:c r="E48" s="20" t="str">
        <x:v>38</x:v>
      </x:c>
      <x:c r="F48" s="20" t="str">
        <x:v>Livraison / préparation</x:v>
      </x:c>
      <x:c r="G48" s="20" t="str">
        <x:v>Colis endommagé</x:v>
      </x:c>
      <x:c r="H48" s="20" t="str">
        <x:v>L26-09</x:v>
      </x:c>
      <x:c r="I48" s="20" t="str">
        <x:v>Atelier B</x:v>
      </x:c>
      <x:c r="J48" s="20" t="n">
        <x:v>1</x:v>
      </x:c>
      <x:c r="K48" s="22" t="n">
        <x:v>16.09</x:v>
      </x:c>
      <x:c r="L48" s="20" t="str">
        <x:v>Remboursement</x:v>
      </x:c>
    </x:row>
    <x:row r="49">
      <x:c r="A49" s="20" t="str">
        <x:v>R046</x:v>
      </x:c>
      <x:c r="B49" s="21" t="n">
        <x:v>46281</x:v>
      </x:c>
      <x:c r="C49" s="20" t="str">
        <x:v>Site e-commerce</x:v>
      </x:c>
      <x:c r="D49" s="20" t="str">
        <x:v>J-201</x:v>
      </x:c>
      <x:c r="E49" s="20" t="str">
        <x:v>42</x:v>
      </x:c>
      <x:c r="F49" s="20" t="str">
        <x:v>Finition / délavage</x:v>
      </x:c>
      <x:c r="G49" s="20" t="str">
        <x:v>Aspect après premier lavage</x:v>
      </x:c>
      <x:c r="H49" s="20" t="str">
        <x:v>L26-08</x:v>
      </x:c>
      <x:c r="I49" s="20" t="str">
        <x:v>Atelier A</x:v>
      </x:c>
      <x:c r="J49" s="20" t="n">
        <x:v>9</x:v>
      </x:c>
      <x:c r="K49" s="22" t="n">
        <x:v>24.05</x:v>
      </x:c>
      <x:c r="L49" s="20" t="str">
        <x:v>Échange</x:v>
      </x:c>
    </x:row>
    <x:row r="50">
      <x:c r="A50" s="20" t="str">
        <x:v>R047</x:v>
      </x:c>
      <x:c r="B50" s="21" t="n">
        <x:v>46274</x:v>
      </x:c>
      <x:c r="C50" s="20" t="str">
        <x:v>Revendeur</x:v>
      </x:c>
      <x:c r="D50" s="20" t="str">
        <x:v>J-101</x:v>
      </x:c>
      <x:c r="E50" s="20" t="str">
        <x:v>44</x:v>
      </x:c>
      <x:c r="F50" s="20" t="str">
        <x:v>Finition / délavage</x:v>
      </x:c>
      <x:c r="G50" s="20" t="str">
        <x:v>Aspect après premier lavage</x:v>
      </x:c>
      <x:c r="H50" s="20" t="str">
        <x:v>L26-08</x:v>
      </x:c>
      <x:c r="I50" s="20" t="str">
        <x:v>Atelier C</x:v>
      </x:c>
      <x:c r="J50" s="20" t="n">
        <x:v>12</x:v>
      </x:c>
      <x:c r="K50" s="22" t="n">
        <x:v>7.25</x:v>
      </x:c>
      <x:c r="L50" s="20" t="str">
        <x:v>Échange</x:v>
      </x:c>
    </x:row>
    <x:row r="51">
      <x:c r="A51" s="20" t="str">
        <x:v>R048</x:v>
      </x:c>
      <x:c r="B51" s="21" t="n">
        <x:v>46239</x:v>
      </x:c>
      <x:c r="C51" s="20" t="str">
        <x:v>Site e-commerce</x:v>
      </x:c>
      <x:c r="D51" s="20" t="str">
        <x:v>J-102</x:v>
      </x:c>
      <x:c r="E51" s="20" t="str">
        <x:v>38</x:v>
      </x:c>
      <x:c r="F51" s="20" t="str">
        <x:v>Taille / coupe</x:v>
      </x:c>
      <x:c r="G51" s="20" t="str">
        <x:v>Coupe différente du modèle essayé</x:v>
      </x:c>
      <x:c r="H51" s="20" t="str">
        <x:v>L26-06</x:v>
      </x:c>
      <x:c r="I51" s="20" t="str">
        <x:v>Atelier C</x:v>
      </x:c>
      <x:c r="J51" s="20" t="n">
        <x:v>6</x:v>
      </x:c>
      <x:c r="K51" s="22" t="n">
        <x:v>23.38</x:v>
      </x:c>
      <x:c r="L51" s="20" t="str">
        <x:v>Remboursement</x:v>
      </x:c>
    </x:row>
    <x:row r="52">
      <x:c r="A52" s="20" t="str">
        <x:v>R049</x:v>
      </x:c>
      <x:c r="B52" s="21" t="n">
        <x:v>46235</x:v>
      </x:c>
      <x:c r="C52" s="20" t="str">
        <x:v>Boutique 1083</x:v>
      </x:c>
      <x:c r="D52" s="20" t="str">
        <x:v>J-201</x:v>
      </x:c>
      <x:c r="E52" s="20" t="str">
        <x:v>38</x:v>
      </x:c>
      <x:c r="F52" s="20" t="str">
        <x:v>Taille / coupe</x:v>
      </x:c>
      <x:c r="G52" s="20" t="str">
        <x:v>Coupe différente du modèle essayé</x:v>
      </x:c>
      <x:c r="H52" s="20" t="str">
        <x:v>L26-08</x:v>
      </x:c>
      <x:c r="I52" s="20" t="str">
        <x:v>Atelier B</x:v>
      </x:c>
      <x:c r="J52" s="20" t="n">
        <x:v>5</x:v>
      </x:c>
      <x:c r="K52" s="22" t="n">
        <x:v>10.26</x:v>
      </x:c>
      <x:c r="L52" s="20" t="str">
        <x:v>Remboursement</x:v>
      </x:c>
    </x:row>
    <x:row r="53">
      <x:c r="A53" s="20" t="str">
        <x:v>R050</x:v>
      </x:c>
      <x:c r="B53" s="21" t="n">
        <x:v>46276</x:v>
      </x:c>
      <x:c r="C53" s="20" t="str">
        <x:v>Site e-commerce</x:v>
      </x:c>
      <x:c r="D53" s="20" t="str">
        <x:v>J-102</x:v>
      </x:c>
      <x:c r="E53" s="20" t="str">
        <x:v>44</x:v>
      </x:c>
      <x:c r="F53" s="20" t="str">
        <x:v>Finition / délavage</x:v>
      </x:c>
      <x:c r="G53" s="20" t="str">
        <x:v>Teinte perçue différente</x:v>
      </x:c>
      <x:c r="H53" s="20" t="str">
        <x:v>L26-07</x:v>
      </x:c>
      <x:c r="I53" s="20" t="str">
        <x:v>Atelier A</x:v>
      </x:c>
      <x:c r="J53" s="20" t="n">
        <x:v>5</x:v>
      </x:c>
      <x:c r="K53" s="22" t="n">
        <x:v>30.69</x:v>
      </x:c>
      <x:c r="L53" s="20" t="str">
        <x:v>Remboursement</x:v>
      </x:c>
    </x:row>
    <x:row r="54">
      <x:c r="A54" s="20" t="str">
        <x:v>R051</x:v>
      </x:c>
      <x:c r="B54" s="21" t="n">
        <x:v>46224</x:v>
      </x:c>
      <x:c r="C54" s="20" t="str">
        <x:v>Site e-commerce</x:v>
      </x:c>
      <x:c r="D54" s="20" t="str">
        <x:v>J-201</x:v>
      </x:c>
      <x:c r="E54" s="20" t="str">
        <x:v>42</x:v>
      </x:c>
      <x:c r="F54" s="20" t="str">
        <x:v>Finition / délavage</x:v>
      </x:c>
      <x:c r="G54" s="20" t="str">
        <x:v>Aspect après premier lavage</x:v>
      </x:c>
      <x:c r="H54" s="20" t="str">
        <x:v>L26-09</x:v>
      </x:c>
      <x:c r="I54" s="20" t="str">
        <x:v>Atelier A</x:v>
      </x:c>
      <x:c r="J54" s="20" t="n">
        <x:v>7</x:v>
      </x:c>
      <x:c r="K54" s="22" t="n">
        <x:v>30.9</x:v>
      </x:c>
      <x:c r="L54" s="20" t="str">
        <x:v>Échange</x:v>
      </x:c>
    </x:row>
    <x:row r="55">
      <x:c r="A55" s="20" t="str">
        <x:v>R052</x:v>
      </x:c>
      <x:c r="B55" s="21" t="n">
        <x:v>46225</x:v>
      </x:c>
      <x:c r="C55" s="20" t="str">
        <x:v>Boutique 1083</x:v>
      </x:c>
      <x:c r="D55" s="20" t="str">
        <x:v>J-101</x:v>
      </x:c>
      <x:c r="E55" s="20" t="str">
        <x:v>46</x:v>
      </x:c>
      <x:c r="F55" s="20" t="str">
        <x:v>Couture</x:v>
      </x:c>
      <x:c r="G55" s="20" t="str">
        <x:v>Passant fragile</x:v>
      </x:c>
      <x:c r="H55" s="20" t="str">
        <x:v>L26-08</x:v>
      </x:c>
      <x:c r="I55" s="20" t="str">
        <x:v>Atelier C</x:v>
      </x:c>
      <x:c r="J55" s="20" t="n">
        <x:v>13</x:v>
      </x:c>
      <x:c r="K55" s="22" t="n">
        <x:v>18.25</x:v>
      </x:c>
      <x:c r="L55" s="20" t="str">
        <x:v>Avoir revendeur</x:v>
      </x:c>
    </x:row>
    <x:row r="56">
      <x:c r="A56" s="20" t="str">
        <x:v>R053</x:v>
      </x:c>
      <x:c r="B56" s="21" t="n">
        <x:v>46249</x:v>
      </x:c>
      <x:c r="C56" s="20" t="str">
        <x:v>Site e-commerce</x:v>
      </x:c>
      <x:c r="D56" s="20" t="str">
        <x:v>J-101</x:v>
      </x:c>
      <x:c r="E56" s="20" t="str">
        <x:v>44</x:v>
      </x:c>
      <x:c r="F56" s="20" t="str">
        <x:v>Couture</x:v>
      </x:c>
      <x:c r="G56" s="20" t="str">
        <x:v>Poche arrière décousue</x:v>
      </x:c>
      <x:c r="H56" s="20" t="str">
        <x:v>L26-08</x:v>
      </x:c>
      <x:c r="I56" s="20" t="str">
        <x:v>Atelier C</x:v>
      </x:c>
      <x:c r="J56" s="20" t="n">
        <x:v>10</x:v>
      </x:c>
      <x:c r="K56" s="22" t="n">
        <x:v>39.65</x:v>
      </x:c>
      <x:c r="L56" s="20" t="str">
        <x:v>Échange</x:v>
      </x:c>
    </x:row>
    <x:row r="57">
      <x:c r="A57" s="20" t="str">
        <x:v>R054</x:v>
      </x:c>
      <x:c r="B57" s="21" t="n">
        <x:v>46233</x:v>
      </x:c>
      <x:c r="C57" s="20" t="str">
        <x:v>Site e-commerce</x:v>
      </x:c>
      <x:c r="D57" s="20" t="str">
        <x:v>J-101</x:v>
      </x:c>
      <x:c r="E57" s="20" t="str">
        <x:v>44</x:v>
      </x:c>
      <x:c r="F57" s="20" t="str">
        <x:v>Finition / délavage</x:v>
      </x:c>
      <x:c r="G57" s="20" t="str">
        <x:v>Marque de finition</x:v>
      </x:c>
      <x:c r="H57" s="20" t="str">
        <x:v>L26-09</x:v>
      </x:c>
      <x:c r="I57" s="20" t="str">
        <x:v>Atelier A</x:v>
      </x:c>
      <x:c r="J57" s="20" t="n">
        <x:v>6</x:v>
      </x:c>
      <x:c r="K57" s="22" t="n">
        <x:v>25.32</x:v>
      </x:c>
      <x:c r="L57" s="20" t="str">
        <x:v>Remboursement</x:v>
      </x:c>
    </x:row>
    <x:row r="58">
      <x:c r="A58" s="20" t="str">
        <x:v>R055</x:v>
      </x:c>
      <x:c r="B58" s="21" t="n">
        <x:v>46226</x:v>
      </x:c>
      <x:c r="C58" s="20" t="str">
        <x:v>Site e-commerce</x:v>
      </x:c>
      <x:c r="D58" s="20" t="str">
        <x:v>J-201</x:v>
      </x:c>
      <x:c r="E58" s="20" t="str">
        <x:v>46</x:v>
      </x:c>
      <x:c r="F58" s="20" t="str">
        <x:v>Finition / délavage</x:v>
      </x:c>
      <x:c r="G58" s="20" t="str">
        <x:v>Aspect après premier lavage</x:v>
      </x:c>
      <x:c r="H58" s="20" t="str">
        <x:v>L26-09</x:v>
      </x:c>
      <x:c r="I58" s="20" t="str">
        <x:v>Atelier C</x:v>
      </x:c>
      <x:c r="J58" s="20" t="n">
        <x:v>5</x:v>
      </x:c>
      <x:c r="K58" s="22" t="n">
        <x:v>30.07</x:v>
      </x:c>
      <x:c r="L58" s="20" t="str">
        <x:v>Remboursement</x:v>
      </x:c>
    </x:row>
    <x:row r="59">
      <x:c r="A59" s="20" t="str">
        <x:v>R056</x:v>
      </x:c>
      <x:c r="B59" s="21" t="n">
        <x:v>46233</x:v>
      </x:c>
      <x:c r="C59" s="20" t="str">
        <x:v>Revendeur</x:v>
      </x:c>
      <x:c r="D59" s="20" t="str">
        <x:v>J-101</x:v>
      </x:c>
      <x:c r="E59" s="20" t="str">
        <x:v>40</x:v>
      </x:c>
      <x:c r="F59" s="20" t="str">
        <x:v>Défaut matière</x:v>
      </x:c>
      <x:c r="G59" s="20" t="str">
        <x:v>Accroc tissu</x:v>
      </x:c>
      <x:c r="H59" s="20" t="str">
        <x:v>L26-06</x:v>
      </x:c>
      <x:c r="I59" s="20" t="str">
        <x:v>Atelier C</x:v>
      </x:c>
      <x:c r="J59" s="20" t="n">
        <x:v>10</x:v>
      </x:c>
      <x:c r="K59" s="22" t="n">
        <x:v>29.94</x:v>
      </x:c>
      <x:c r="L59" s="20" t="str">
        <x:v>Remboursement</x:v>
      </x:c>
    </x:row>
    <x:row r="60">
      <x:c r="A60" s="20" t="str">
        <x:v>R057</x:v>
      </x:c>
      <x:c r="B60" s="21" t="n">
        <x:v>46243</x:v>
      </x:c>
      <x:c r="C60" s="20" t="str">
        <x:v>Boutique 1083</x:v>
      </x:c>
      <x:c r="D60" s="20" t="str">
        <x:v>CH-301</x:v>
      </x:c>
      <x:c r="E60" s="20" t="str">
        <x:v>40</x:v>
      </x:c>
      <x:c r="F60" s="20" t="str">
        <x:v>Couture</x:v>
      </x:c>
      <x:c r="G60" s="20" t="str">
        <x:v>Passant fragile</x:v>
      </x:c>
      <x:c r="H60" s="20" t="str">
        <x:v>L26-08</x:v>
      </x:c>
      <x:c r="I60" s="20" t="str">
        <x:v>Atelier B</x:v>
      </x:c>
      <x:c r="J60" s="20" t="n">
        <x:v>6</x:v>
      </x:c>
      <x:c r="K60" s="22" t="n">
        <x:v>33.46</x:v>
      </x:c>
      <x:c r="L60" s="20" t="str">
        <x:v>Échange</x:v>
      </x:c>
    </x:row>
    <x:row r="61">
      <x:c r="A61" s="20" t="str">
        <x:v>R058</x:v>
      </x:c>
      <x:c r="B61" s="21" t="n">
        <x:v>46281</x:v>
      </x:c>
      <x:c r="C61" s="20" t="str">
        <x:v>Revendeur</x:v>
      </x:c>
      <x:c r="D61" s="20" t="str">
        <x:v>V-401</x:v>
      </x:c>
      <x:c r="E61" s="20" t="str">
        <x:v>44</x:v>
      </x:c>
      <x:c r="F61" s="20" t="str">
        <x:v>Taille / coupe</x:v>
      </x:c>
      <x:c r="G61" s="20" t="str">
        <x:v>Longueur non conforme attente</x:v>
      </x:c>
      <x:c r="H61" s="20" t="str">
        <x:v>L26-08</x:v>
      </x:c>
      <x:c r="I61" s="20" t="str">
        <x:v>Atelier C</x:v>
      </x:c>
      <x:c r="J61" s="20" t="n">
        <x:v>7</x:v>
      </x:c>
      <x:c r="K61" s="22" t="n">
        <x:v>18.16</x:v>
      </x:c>
      <x:c r="L61" s="20" t="str">
        <x:v>Échange</x:v>
      </x:c>
    </x:row>
    <x:row r="62">
      <x:c r="A62" s="20" t="str">
        <x:v>R059</x:v>
      </x:c>
      <x:c r="B62" s="21" t="n">
        <x:v>46265</x:v>
      </x:c>
      <x:c r="C62" s="20" t="str">
        <x:v>Site e-commerce</x:v>
      </x:c>
      <x:c r="D62" s="20" t="str">
        <x:v>J-101</x:v>
      </x:c>
      <x:c r="E62" s="20" t="str">
        <x:v>46</x:v>
      </x:c>
      <x:c r="F62" s="20" t="str">
        <x:v>Finition / délavage</x:v>
      </x:c>
      <x:c r="G62" s="20" t="str">
        <x:v>Marque de finition</x:v>
      </x:c>
      <x:c r="H62" s="20" t="str">
        <x:v>L26-07</x:v>
      </x:c>
      <x:c r="I62" s="20" t="str">
        <x:v>Atelier C</x:v>
      </x:c>
      <x:c r="J62" s="20" t="n">
        <x:v>4</x:v>
      </x:c>
      <x:c r="K62" s="22" t="n">
        <x:v>21.6</x:v>
      </x:c>
      <x:c r="L62" s="20" t="str">
        <x:v>Réparation</x:v>
      </x:c>
    </x:row>
    <x:row r="63">
      <x:c r="A63" s="20" t="str">
        <x:v>R060</x:v>
      </x:c>
      <x:c r="B63" s="21" t="n">
        <x:v>46258</x:v>
      </x:c>
      <x:c r="C63" s="20" t="str">
        <x:v>Site e-commerce</x:v>
      </x:c>
      <x:c r="D63" s="20" t="str">
        <x:v>J-201</x:v>
      </x:c>
      <x:c r="E63" s="20" t="str">
        <x:v>38</x:v>
      </x:c>
      <x:c r="F63" s="20" t="str">
        <x:v>Finition / délavage</x:v>
      </x:c>
      <x:c r="G63" s="20" t="str">
        <x:v>Teinte perçue différente</x:v>
      </x:c>
      <x:c r="H63" s="20" t="str">
        <x:v>L26-08</x:v>
      </x:c>
      <x:c r="I63" s="20" t="str">
        <x:v>Atelier B</x:v>
      </x:c>
      <x:c r="J63" s="20" t="n">
        <x:v>8</x:v>
      </x:c>
      <x:c r="K63" s="22" t="n">
        <x:v>14.04</x:v>
      </x:c>
      <x:c r="L63" s="20" t="str">
        <x:v>Échange</x:v>
      </x:c>
    </x:row>
    <x:row r="64">
      <x:c r="A64" s="20" t="str">
        <x:v>R061</x:v>
      </x:c>
      <x:c r="B64" s="21" t="n">
        <x:v>46247</x:v>
      </x:c>
      <x:c r="C64" s="20" t="str">
        <x:v>Site e-commerce</x:v>
      </x:c>
      <x:c r="D64" s="20" t="str">
        <x:v>J-101</x:v>
      </x:c>
      <x:c r="E64" s="20" t="str">
        <x:v>36</x:v>
      </x:c>
      <x:c r="F64" s="20" t="str">
        <x:v>Couture</x:v>
      </x:c>
      <x:c r="G64" s="20" t="str">
        <x:v>Poche arrière décousue</x:v>
      </x:c>
      <x:c r="H64" s="20" t="str">
        <x:v>L26-08</x:v>
      </x:c>
      <x:c r="I64" s="20" t="str">
        <x:v>Atelier C</x:v>
      </x:c>
      <x:c r="J64" s="20" t="n">
        <x:v>4</x:v>
      </x:c>
      <x:c r="K64" s="22" t="n">
        <x:v>15.58</x:v>
      </x:c>
      <x:c r="L64" s="20" t="str">
        <x:v>Réparation</x:v>
      </x:c>
    </x:row>
    <x:row r="65">
      <x:c r="A65" s="20" t="str">
        <x:v>R062</x:v>
      </x:c>
      <x:c r="B65" s="21" t="n">
        <x:v>46248</x:v>
      </x:c>
      <x:c r="C65" s="20" t="str">
        <x:v>Site e-commerce</x:v>
      </x:c>
      <x:c r="D65" s="20" t="str">
        <x:v>J-201</x:v>
      </x:c>
      <x:c r="E65" s="20" t="str">
        <x:v>40</x:v>
      </x:c>
      <x:c r="F65" s="20" t="str">
        <x:v>Défaut matière</x:v>
      </x:c>
      <x:c r="G65" s="20" t="str">
        <x:v>Élasticité</x:v>
      </x:c>
      <x:c r="H65" s="20" t="str">
        <x:v>L26-07</x:v>
      </x:c>
      <x:c r="I65" s="20" t="str">
        <x:v>Atelier A</x:v>
      </x:c>
      <x:c r="J65" s="20" t="n">
        <x:v>8</x:v>
      </x:c>
      <x:c r="K65" s="22" t="n">
        <x:v>21.8</x:v>
      </x:c>
      <x:c r="L65" s="20" t="str">
        <x:v>Réparation</x:v>
      </x:c>
    </x:row>
    <x:row r="66">
      <x:c r="A66" s="20" t="str">
        <x:v>R063</x:v>
      </x:c>
      <x:c r="B66" s="21" t="n">
        <x:v>46270</x:v>
      </x:c>
      <x:c r="C66" s="20" t="str">
        <x:v>Revendeur</x:v>
      </x:c>
      <x:c r="D66" s="20" t="str">
        <x:v>V-401</x:v>
      </x:c>
      <x:c r="E66" s="20" t="str">
        <x:v>46</x:v>
      </x:c>
      <x:c r="F66" s="20" t="str">
        <x:v>Couture</x:v>
      </x:c>
      <x:c r="G66" s="20" t="str">
        <x:v>Ourlet</x:v>
      </x:c>
      <x:c r="H66" s="20" t="str">
        <x:v>L26-08</x:v>
      </x:c>
      <x:c r="I66" s="20" t="str">
        <x:v>Atelier C</x:v>
      </x:c>
      <x:c r="J66" s="20" t="n">
        <x:v>9</x:v>
      </x:c>
      <x:c r="K66" s="22" t="n">
        <x:v>28.87</x:v>
      </x:c>
      <x:c r="L66" s="20" t="str">
        <x:v>Échange</x:v>
      </x:c>
    </x:row>
    <x:row r="67">
      <x:c r="A67" s="20" t="str">
        <x:v>R064</x:v>
      </x:c>
      <x:c r="B67" s="21" t="n">
        <x:v>46213</x:v>
      </x:c>
      <x:c r="C67" s="20" t="str">
        <x:v>Site e-commerce</x:v>
      </x:c>
      <x:c r="D67" s="20" t="str">
        <x:v>V-401</x:v>
      </x:c>
      <x:c r="E67" s="20" t="str">
        <x:v>40</x:v>
      </x:c>
      <x:c r="F67" s="20" t="str">
        <x:v>Autre</x:v>
      </x:c>
      <x:c r="G67" s="20" t="str">
        <x:v>Changement d'avis</x:v>
      </x:c>
      <x:c r="H67" s="20" t="str">
        <x:v>L26-08</x:v>
      </x:c>
      <x:c r="I67" s="20" t="str">
        <x:v>Atelier B</x:v>
      </x:c>
      <x:c r="J67" s="20" t="n">
        <x:v>8</x:v>
      </x:c>
      <x:c r="K67" s="22" t="n">
        <x:v>27.41</x:v>
      </x:c>
      <x:c r="L67" s="20" t="str">
        <x:v>Remboursement</x:v>
      </x:c>
    </x:row>
    <x:row r="68">
      <x:c r="A68" s="20" t="str">
        <x:v>R065</x:v>
      </x:c>
      <x:c r="B68" s="21" t="n">
        <x:v>46207</x:v>
      </x:c>
      <x:c r="C68" s="20" t="str">
        <x:v>Site e-commerce</x:v>
      </x:c>
      <x:c r="D68" s="20" t="str">
        <x:v>J-101</x:v>
      </x:c>
      <x:c r="E68" s="20" t="str">
        <x:v>42</x:v>
      </x:c>
      <x:c r="F68" s="20" t="str">
        <x:v>Couture</x:v>
      </x:c>
      <x:c r="G68" s="20" t="str">
        <x:v>Surpiqûre irrégulière</x:v>
      </x:c>
      <x:c r="H68" s="20" t="str">
        <x:v>L26-08</x:v>
      </x:c>
      <x:c r="I68" s="20" t="str">
        <x:v>Atelier C</x:v>
      </x:c>
      <x:c r="J68" s="20" t="n">
        <x:v>9</x:v>
      </x:c>
      <x:c r="K68" s="22" t="n">
        <x:v>35.04</x:v>
      </x:c>
      <x:c r="L68" s="20" t="str">
        <x:v>Réparation</x:v>
      </x:c>
    </x:row>
    <x:row r="69">
      <x:c r="A69" s="20" t="str">
        <x:v>R066</x:v>
      </x:c>
      <x:c r="B69" s="21" t="n">
        <x:v>46252</x:v>
      </x:c>
      <x:c r="C69" s="20" t="str">
        <x:v>Revendeur</x:v>
      </x:c>
      <x:c r="D69" s="20" t="str">
        <x:v>J-201</x:v>
      </x:c>
      <x:c r="E69" s="20" t="str">
        <x:v>38</x:v>
      </x:c>
      <x:c r="F69" s="20" t="str">
        <x:v>Livraison / préparation</x:v>
      </x:c>
      <x:c r="G69" s="20" t="str">
        <x:v>Mauvaise taille expédiée</x:v>
      </x:c>
      <x:c r="H69" s="20" t="str">
        <x:v>L26-09</x:v>
      </x:c>
      <x:c r="I69" s="20" t="str">
        <x:v>Atelier D</x:v>
      </x:c>
      <x:c r="J69" s="20" t="n">
        <x:v>11</x:v>
      </x:c>
      <x:c r="K69" s="22" t="n">
        <x:v>21.25</x:v>
      </x:c>
      <x:c r="L69" s="20" t="str">
        <x:v>Échange</x:v>
      </x:c>
    </x:row>
    <x:row r="70">
      <x:c r="A70" s="20" t="str">
        <x:v>R067</x:v>
      </x:c>
      <x:c r="B70" s="21" t="n">
        <x:v>46226</x:v>
      </x:c>
      <x:c r="C70" s="20" t="str">
        <x:v>Site e-commerce</x:v>
      </x:c>
      <x:c r="D70" s="20" t="str">
        <x:v>J-102</x:v>
      </x:c>
      <x:c r="E70" s="20" t="str">
        <x:v>46</x:v>
      </x:c>
      <x:c r="F70" s="20" t="str">
        <x:v>Taille / coupe</x:v>
      </x:c>
      <x:c r="G70" s="20" t="str">
        <x:v>Longueur non conforme attente</x:v>
      </x:c>
      <x:c r="H70" s="20" t="str">
        <x:v>L26-06</x:v>
      </x:c>
      <x:c r="I70" s="20" t="str">
        <x:v>Atelier D</x:v>
      </x:c>
      <x:c r="J70" s="20" t="n">
        <x:v>6</x:v>
      </x:c>
      <x:c r="K70" s="22" t="n">
        <x:v>30.8</x:v>
      </x:c>
      <x:c r="L70" s="20" t="str">
        <x:v>Remboursement</x:v>
      </x:c>
    </x:row>
    <x:row r="71">
      <x:c r="A71" s="20" t="str">
        <x:v>R068</x:v>
      </x:c>
      <x:c r="B71" s="21" t="n">
        <x:v>46250</x:v>
      </x:c>
      <x:c r="C71" s="20" t="str">
        <x:v>Site e-commerce</x:v>
      </x:c>
      <x:c r="D71" s="20" t="str">
        <x:v>CH-301</x:v>
      </x:c>
      <x:c r="E71" s="20" t="str">
        <x:v>36</x:v>
      </x:c>
      <x:c r="F71" s="20" t="str">
        <x:v>Taille / coupe</x:v>
      </x:c>
      <x:c r="G71" s="20" t="str">
        <x:v>Taille perçue trop petite</x:v>
      </x:c>
      <x:c r="H71" s="20" t="str">
        <x:v>L26-07</x:v>
      </x:c>
      <x:c r="I71" s="20" t="str">
        <x:v>Atelier B</x:v>
      </x:c>
      <x:c r="J71" s="20" t="n">
        <x:v>8</x:v>
      </x:c>
      <x:c r="K71" s="22" t="n">
        <x:v>26.68</x:v>
      </x:c>
      <x:c r="L71" s="20" t="str">
        <x:v>Échange</x:v>
      </x:c>
    </x:row>
    <x:row r="72">
      <x:c r="A72" s="20" t="str">
        <x:v>R069</x:v>
      </x:c>
      <x:c r="B72" s="21" t="n">
        <x:v>46276</x:v>
      </x:c>
      <x:c r="C72" s="20" t="str">
        <x:v>Site e-commerce</x:v>
      </x:c>
      <x:c r="D72" s="20" t="str">
        <x:v>V-401</x:v>
      </x:c>
      <x:c r="E72" s="20" t="str">
        <x:v>38</x:v>
      </x:c>
      <x:c r="F72" s="20" t="str">
        <x:v>Accessoire</x:v>
      </x:c>
      <x:c r="G72" s="20" t="str">
        <x:v>Bouton</x:v>
      </x:c>
      <x:c r="H72" s="20" t="str">
        <x:v>L26-06</x:v>
      </x:c>
      <x:c r="I72" s="20" t="str">
        <x:v>Atelier A</x:v>
      </x:c>
      <x:c r="J72" s="20" t="n">
        <x:v>2</x:v>
      </x:c>
      <x:c r="K72" s="22" t="n">
        <x:v>27.47</x:v>
      </x:c>
      <x:c r="L72" s="20" t="str">
        <x:v>Échange</x:v>
      </x:c>
    </x:row>
    <x:row r="73">
      <x:c r="A73" s="20" t="str">
        <x:v>R070</x:v>
      </x:c>
      <x:c r="B73" s="21" t="n">
        <x:v>46211</x:v>
      </x:c>
      <x:c r="C73" s="20" t="str">
        <x:v>Revendeur</x:v>
      </x:c>
      <x:c r="D73" s="20" t="str">
        <x:v>J-101</x:v>
      </x:c>
      <x:c r="E73" s="20" t="str">
        <x:v>36</x:v>
      </x:c>
      <x:c r="F73" s="20" t="str">
        <x:v>Couture</x:v>
      </x:c>
      <x:c r="G73" s="20" t="str">
        <x:v>Passant fragile</x:v>
      </x:c>
      <x:c r="H73" s="20" t="str">
        <x:v>L26-08</x:v>
      </x:c>
      <x:c r="I73" s="20" t="str">
        <x:v>Atelier C</x:v>
      </x:c>
      <x:c r="J73" s="20" t="n">
        <x:v>6</x:v>
      </x:c>
      <x:c r="K73" s="22" t="n">
        <x:v>16.95</x:v>
      </x:c>
      <x:c r="L73" s="20" t="str">
        <x:v>Remboursement</x:v>
      </x:c>
    </x:row>
    <x:row r="74">
      <x:c r="A74" s="20" t="str">
        <x:v>R071</x:v>
      </x:c>
      <x:c r="B74" s="21" t="n">
        <x:v>46232</x:v>
      </x:c>
      <x:c r="C74" s="20" t="str">
        <x:v>Revendeur</x:v>
      </x:c>
      <x:c r="D74" s="20" t="str">
        <x:v>J-201</x:v>
      </x:c>
      <x:c r="E74" s="20" t="str">
        <x:v>46</x:v>
      </x:c>
      <x:c r="F74" s="20" t="str">
        <x:v>Taille / coupe</x:v>
      </x:c>
      <x:c r="G74" s="20" t="str">
        <x:v>Longueur non conforme attente</x:v>
      </x:c>
      <x:c r="H74" s="20" t="str">
        <x:v>L26-08</x:v>
      </x:c>
      <x:c r="I74" s="20" t="str">
        <x:v>Atelier B</x:v>
      </x:c>
      <x:c r="J74" s="20" t="n">
        <x:v>6</x:v>
      </x:c>
      <x:c r="K74" s="22" t="n">
        <x:v>4</x:v>
      </x:c>
      <x:c r="L74" s="20" t="str">
        <x:v>Échange</x:v>
      </x:c>
    </x:row>
    <x:row r="75">
      <x:c r="A75" s="20" t="str">
        <x:v>R072</x:v>
      </x:c>
      <x:c r="B75" s="21" t="n">
        <x:v>46258</x:v>
      </x:c>
      <x:c r="C75" s="20" t="str">
        <x:v>Site e-commerce</x:v>
      </x:c>
      <x:c r="D75" s="20" t="str">
        <x:v>J-102</x:v>
      </x:c>
      <x:c r="E75" s="20" t="str">
        <x:v>36</x:v>
      </x:c>
      <x:c r="F75" s="20" t="str">
        <x:v>Taille / coupe</x:v>
      </x:c>
      <x:c r="G75" s="20" t="str">
        <x:v>Coupe différente du modèle essayé</x:v>
      </x:c>
      <x:c r="H75" s="20" t="str">
        <x:v>L26-06</x:v>
      </x:c>
      <x:c r="I75" s="20" t="str">
        <x:v>Atelier D</x:v>
      </x:c>
      <x:c r="J75" s="20" t="n">
        <x:v>3</x:v>
      </x:c>
      <x:c r="K75" s="22" t="n">
        <x:v>18.18</x:v>
      </x:c>
      <x:c r="L75" s="20" t="str">
        <x:v>Remboursement</x:v>
      </x:c>
    </x:row>
    <x:row r="76">
      <x:c r="A76" s="20" t="str">
        <x:v>R073</x:v>
      </x:c>
      <x:c r="B76" s="21" t="n">
        <x:v>46238</x:v>
      </x:c>
      <x:c r="C76" s="20" t="str">
        <x:v>Boutique 1083</x:v>
      </x:c>
      <x:c r="D76" s="20" t="str">
        <x:v>J-101</x:v>
      </x:c>
      <x:c r="E76" s="20" t="str">
        <x:v>42</x:v>
      </x:c>
      <x:c r="F76" s="20" t="str">
        <x:v>Accessoire</x:v>
      </x:c>
      <x:c r="G76" s="20" t="str">
        <x:v>Bouton</x:v>
      </x:c>
      <x:c r="H76" s="20" t="str">
        <x:v>L26-07</x:v>
      </x:c>
      <x:c r="I76" s="20" t="str">
        <x:v>Atelier D</x:v>
      </x:c>
      <x:c r="J76" s="20" t="n">
        <x:v>2</x:v>
      </x:c>
      <x:c r="K76" s="22" t="n">
        <x:v>27.09</x:v>
      </x:c>
      <x:c r="L76" s="20" t="str">
        <x:v>Échange</x:v>
      </x:c>
    </x:row>
    <x:row r="77">
      <x:c r="A77" s="20" t="str">
        <x:v>R074</x:v>
      </x:c>
      <x:c r="B77" s="21" t="n">
        <x:v>46290</x:v>
      </x:c>
      <x:c r="C77" s="20" t="str">
        <x:v>Site e-commerce</x:v>
      </x:c>
      <x:c r="D77" s="20" t="str">
        <x:v>J-101</x:v>
      </x:c>
      <x:c r="E77" s="20" t="str">
        <x:v>40</x:v>
      </x:c>
      <x:c r="F77" s="20" t="str">
        <x:v>Couture</x:v>
      </x:c>
      <x:c r="G77" s="20" t="str">
        <x:v>Surpiqûre irrégulière</x:v>
      </x:c>
      <x:c r="H77" s="20" t="str">
        <x:v>L26-08</x:v>
      </x:c>
      <x:c r="I77" s="20" t="str">
        <x:v>Atelier C</x:v>
      </x:c>
      <x:c r="J77" s="20" t="n">
        <x:v>5</x:v>
      </x:c>
      <x:c r="K77" s="22" t="n">
        <x:v>27.46</x:v>
      </x:c>
      <x:c r="L77" s="20" t="str">
        <x:v>Réparation</x:v>
      </x:c>
    </x:row>
    <x:row r="78">
      <x:c r="A78" s="20" t="str">
        <x:v>R075</x:v>
      </x:c>
      <x:c r="B78" s="21" t="n">
        <x:v>46214</x:v>
      </x:c>
      <x:c r="C78" s="20" t="str">
        <x:v>Boutique 1083</x:v>
      </x:c>
      <x:c r="D78" s="20" t="str">
        <x:v>V-401</x:v>
      </x:c>
      <x:c r="E78" s="20" t="str">
        <x:v>44</x:v>
      </x:c>
      <x:c r="F78" s="20" t="str">
        <x:v>Couture</x:v>
      </x:c>
      <x:c r="G78" s="20" t="str">
        <x:v>Passant fragile</x:v>
      </x:c>
      <x:c r="H78" s="20" t="str">
        <x:v>L26-09</x:v>
      </x:c>
      <x:c r="I78" s="20" t="str">
        <x:v>Atelier C</x:v>
      </x:c>
      <x:c r="J78" s="20" t="n">
        <x:v>8</x:v>
      </x:c>
      <x:c r="K78" s="22" t="n">
        <x:v>33.25</x:v>
      </x:c>
      <x:c r="L78" s="20" t="str">
        <x:v>Remboursement</x:v>
      </x:c>
    </x:row>
    <x:row r="79">
      <x:c r="A79" s="20" t="str">
        <x:v>R076</x:v>
      </x:c>
      <x:c r="B79" s="21" t="n">
        <x:v>46248</x:v>
      </x:c>
      <x:c r="C79" s="20" t="str">
        <x:v>Revendeur</x:v>
      </x:c>
      <x:c r="D79" s="20" t="str">
        <x:v>J-101</x:v>
      </x:c>
      <x:c r="E79" s="20" t="str">
        <x:v>38</x:v>
      </x:c>
      <x:c r="F79" s="20" t="str">
        <x:v>Couture</x:v>
      </x:c>
      <x:c r="G79" s="20" t="str">
        <x:v>Passant fragile</x:v>
      </x:c>
      <x:c r="H79" s="20" t="str">
        <x:v>L26-08</x:v>
      </x:c>
      <x:c r="I79" s="20" t="str">
        <x:v>Atelier C</x:v>
      </x:c>
      <x:c r="J79" s="20" t="n">
        <x:v>1</x:v>
      </x:c>
      <x:c r="K79" s="22" t="n">
        <x:v>24.5</x:v>
      </x:c>
      <x:c r="L79" s="20" t="str">
        <x:v>Réparation</x:v>
      </x:c>
    </x:row>
    <x:row r="80">
      <x:c r="A80" s="20" t="str">
        <x:v>R077</x:v>
      </x:c>
      <x:c r="B80" s="21" t="n">
        <x:v>46223</x:v>
      </x:c>
      <x:c r="C80" s="20" t="str">
        <x:v>Site e-commerce</x:v>
      </x:c>
      <x:c r="D80" s="20" t="str">
        <x:v>J-101</x:v>
      </x:c>
      <x:c r="E80" s="20" t="str">
        <x:v>42</x:v>
      </x:c>
      <x:c r="F80" s="20" t="str">
        <x:v>Livraison / préparation</x:v>
      </x:c>
      <x:c r="G80" s="20" t="str">
        <x:v>Colis endommagé</x:v>
      </x:c>
      <x:c r="H80" s="20" t="str">
        <x:v>L26-07</x:v>
      </x:c>
      <x:c r="I80" s="20" t="str">
        <x:v>Atelier D</x:v>
      </x:c>
      <x:c r="J80" s="20" t="n">
        <x:v>2</x:v>
      </x:c>
      <x:c r="K80" s="22" t="n">
        <x:v>14.47</x:v>
      </x:c>
      <x:c r="L80" s="20" t="str">
        <x:v>Remboursement</x:v>
      </x:c>
    </x:row>
    <x:row r="81">
      <x:c r="A81" s="20" t="str">
        <x:v>R078</x:v>
      </x:c>
      <x:c r="B81" s="21" t="n">
        <x:v>46263</x:v>
      </x:c>
      <x:c r="C81" s="20" t="str">
        <x:v>Site e-commerce</x:v>
      </x:c>
      <x:c r="D81" s="20" t="str">
        <x:v>J-102</x:v>
      </x:c>
      <x:c r="E81" s="20" t="str">
        <x:v>46</x:v>
      </x:c>
      <x:c r="F81" s="20" t="str">
        <x:v>Finition / délavage</x:v>
      </x:c>
      <x:c r="G81" s="20" t="str">
        <x:v>Marque de finition</x:v>
      </x:c>
      <x:c r="H81" s="20" t="str">
        <x:v>L26-08</x:v>
      </x:c>
      <x:c r="I81" s="20" t="str">
        <x:v>Atelier A</x:v>
      </x:c>
      <x:c r="J81" s="20" t="n">
        <x:v>6</x:v>
      </x:c>
      <x:c r="K81" s="22" t="n">
        <x:v>22.61</x:v>
      </x:c>
      <x:c r="L81" s="20" t="str">
        <x:v>Échange</x:v>
      </x:c>
    </x:row>
    <x:row r="82">
      <x:c r="A82" s="20" t="str">
        <x:v>R079</x:v>
      </x:c>
      <x:c r="B82" s="21" t="n">
        <x:v>46252</x:v>
      </x:c>
      <x:c r="C82" s="20" t="str">
        <x:v>Revendeur</x:v>
      </x:c>
      <x:c r="D82" s="20" t="str">
        <x:v>J-101</x:v>
      </x:c>
      <x:c r="E82" s="20" t="str">
        <x:v>44</x:v>
      </x:c>
      <x:c r="F82" s="20" t="str">
        <x:v>Couture</x:v>
      </x:c>
      <x:c r="G82" s="20" t="str">
        <x:v>Passant fragile</x:v>
      </x:c>
      <x:c r="H82" s="20" t="str">
        <x:v>L26-08</x:v>
      </x:c>
      <x:c r="I82" s="20" t="str">
        <x:v>Atelier C</x:v>
      </x:c>
      <x:c r="J82" s="20" t="n">
        <x:v>12</x:v>
      </x:c>
      <x:c r="K82" s="22" t="n">
        <x:v>15.95</x:v>
      </x:c>
      <x:c r="L82" s="20" t="str">
        <x:v>Remboursement</x:v>
      </x:c>
    </x:row>
    <x:row r="83">
      <x:c r="A83" s="20" t="str">
        <x:v>R080</x:v>
      </x:c>
      <x:c r="B83" s="21" t="n">
        <x:v>46211</x:v>
      </x:c>
      <x:c r="C83" s="20" t="str">
        <x:v>Boutique 1083</x:v>
      </x:c>
      <x:c r="D83" s="20" t="str">
        <x:v>CH-301</x:v>
      </x:c>
      <x:c r="E83" s="20" t="str">
        <x:v>40</x:v>
      </x:c>
      <x:c r="F83" s="20" t="str">
        <x:v>Accessoire</x:v>
      </x:c>
      <x:c r="G83" s="20" t="str">
        <x:v>Zip</x:v>
      </x:c>
      <x:c r="H83" s="20" t="str">
        <x:v>L26-08</x:v>
      </x:c>
      <x:c r="I83" s="20" t="str">
        <x:v>Atelier B</x:v>
      </x:c>
      <x:c r="J83" s="20" t="n">
        <x:v>9</x:v>
      </x:c>
      <x:c r="K83" s="22" t="n">
        <x:v>34.33</x:v>
      </x:c>
      <x:c r="L83" s="20" t="str">
        <x:v>Réparation</x:v>
      </x:c>
    </x:row>
    <x:row r="84">
      <x:c r="A84" s="20" t="str">
        <x:v>R081</x:v>
      </x:c>
      <x:c r="B84" s="21" t="n">
        <x:v>46265</x:v>
      </x:c>
      <x:c r="C84" s="20" t="str">
        <x:v>Site e-commerce</x:v>
      </x:c>
      <x:c r="D84" s="20" t="str">
        <x:v>V-401</x:v>
      </x:c>
      <x:c r="E84" s="20" t="str">
        <x:v>36</x:v>
      </x:c>
      <x:c r="F84" s="20" t="str">
        <x:v>Défaut matière</x:v>
      </x:c>
      <x:c r="G84" s="20" t="str">
        <x:v>Accroc tissu</x:v>
      </x:c>
      <x:c r="H84" s="20" t="str">
        <x:v>L26-07</x:v>
      </x:c>
      <x:c r="I84" s="20" t="str">
        <x:v>Atelier C</x:v>
      </x:c>
      <x:c r="J84" s="20" t="n">
        <x:v>4</x:v>
      </x:c>
      <x:c r="K84" s="22" t="n">
        <x:v>15.85</x:v>
      </x:c>
      <x:c r="L84" s="20" t="str">
        <x:v>Échange</x:v>
      </x:c>
    </x:row>
    <x:row r="85">
      <x:c r="A85" s="20" t="str">
        <x:v>R082</x:v>
      </x:c>
      <x:c r="B85" s="21" t="n">
        <x:v>46207</x:v>
      </x:c>
      <x:c r="C85" s="20" t="str">
        <x:v>Boutique 1083</x:v>
      </x:c>
      <x:c r="D85" s="20" t="str">
        <x:v>J-102</x:v>
      </x:c>
      <x:c r="E85" s="20" t="str">
        <x:v>44</x:v>
      </x:c>
      <x:c r="F85" s="20" t="str">
        <x:v>Finition / délavage</x:v>
      </x:c>
      <x:c r="G85" s="20" t="str">
        <x:v>Marque de finition</x:v>
      </x:c>
      <x:c r="H85" s="20" t="str">
        <x:v>L26-08</x:v>
      </x:c>
      <x:c r="I85" s="20" t="str">
        <x:v>Atelier B</x:v>
      </x:c>
      <x:c r="J85" s="20" t="n">
        <x:v>3</x:v>
      </x:c>
      <x:c r="K85" s="22" t="n">
        <x:v>15.09</x:v>
      </x:c>
      <x:c r="L85" s="20" t="str">
        <x:v>Échange</x:v>
      </x:c>
    </x:row>
    <x:row r="86">
      <x:c r="A86" s="20" t="str">
        <x:v>R083</x:v>
      </x:c>
      <x:c r="B86" s="21" t="n">
        <x:v>46261</x:v>
      </x:c>
      <x:c r="C86" s="20" t="str">
        <x:v>Revendeur</x:v>
      </x:c>
      <x:c r="D86" s="20" t="str">
        <x:v>J-201</x:v>
      </x:c>
      <x:c r="E86" s="20" t="str">
        <x:v>44</x:v>
      </x:c>
      <x:c r="F86" s="20" t="str">
        <x:v>Taille / coupe</x:v>
      </x:c>
      <x:c r="G86" s="20" t="str">
        <x:v>Longueur non conforme attente</x:v>
      </x:c>
      <x:c r="H86" s="20" t="str">
        <x:v>L26-06</x:v>
      </x:c>
      <x:c r="I86" s="20" t="str">
        <x:v>Atelier D</x:v>
      </x:c>
      <x:c r="J86" s="20" t="n">
        <x:v>12</x:v>
      </x:c>
      <x:c r="K86" s="22" t="n">
        <x:v>18.3</x:v>
      </x:c>
      <x:c r="L86" s="20" t="str">
        <x:v>Remboursement</x:v>
      </x:c>
    </x:row>
    <x:row r="87">
      <x:c r="A87" s="20" t="str">
        <x:v>R084</x:v>
      </x:c>
      <x:c r="B87" s="21" t="n">
        <x:v>46236</x:v>
      </x:c>
      <x:c r="C87" s="20" t="str">
        <x:v>Revendeur</x:v>
      </x:c>
      <x:c r="D87" s="20" t="str">
        <x:v>J-102</x:v>
      </x:c>
      <x:c r="E87" s="20" t="str">
        <x:v>36</x:v>
      </x:c>
      <x:c r="F87" s="20" t="str">
        <x:v>Taille / coupe</x:v>
      </x:c>
      <x:c r="G87" s="20" t="str">
        <x:v>Longueur non conforme attente</x:v>
      </x:c>
      <x:c r="H87" s="20" t="str">
        <x:v>L26-06</x:v>
      </x:c>
      <x:c r="I87" s="20" t="str">
        <x:v>Atelier A</x:v>
      </x:c>
      <x:c r="J87" s="20" t="n">
        <x:v>6</x:v>
      </x:c>
      <x:c r="K87" s="22" t="n">
        <x:v>28.73</x:v>
      </x:c>
      <x:c r="L87" s="20" t="str">
        <x:v>Échange</x:v>
      </x:c>
    </x:row>
    <x:row r="88">
      <x:c r="A88" s="20" t="str">
        <x:v>R085</x:v>
      </x:c>
      <x:c r="B88" s="21" t="n">
        <x:v>46265</x:v>
      </x:c>
      <x:c r="C88" s="20" t="str">
        <x:v>Site e-commerce</x:v>
      </x:c>
      <x:c r="D88" s="20" t="str">
        <x:v>V-401</x:v>
      </x:c>
      <x:c r="E88" s="20" t="str">
        <x:v>42</x:v>
      </x:c>
      <x:c r="F88" s="20" t="str">
        <x:v>Taille / coupe</x:v>
      </x:c>
      <x:c r="G88" s="20" t="str">
        <x:v>Coupe différente du modèle essayé</x:v>
      </x:c>
      <x:c r="H88" s="20" t="str">
        <x:v>L26-07</x:v>
      </x:c>
      <x:c r="I88" s="20" t="str">
        <x:v>Atelier B</x:v>
      </x:c>
      <x:c r="J88" s="20" t="n">
        <x:v>10</x:v>
      </x:c>
      <x:c r="K88" s="22" t="n">
        <x:v>12.45</x:v>
      </x:c>
      <x:c r="L88" s="20" t="str">
        <x:v>Échange</x:v>
      </x:c>
    </x:row>
    <x:row r="89">
      <x:c r="A89" s="20" t="str">
        <x:v>R086</x:v>
      </x:c>
      <x:c r="B89" s="21" t="n">
        <x:v>46283</x:v>
      </x:c>
      <x:c r="C89" s="20" t="str">
        <x:v>Site e-commerce</x:v>
      </x:c>
      <x:c r="D89" s="20" t="str">
        <x:v>J-101</x:v>
      </x:c>
      <x:c r="E89" s="20" t="str">
        <x:v>38</x:v>
      </x:c>
      <x:c r="F89" s="20" t="str">
        <x:v>Défaut matière</x:v>
      </x:c>
      <x:c r="G89" s="20" t="str">
        <x:v>Élasticité</x:v>
      </x:c>
      <x:c r="H89" s="20" t="str">
        <x:v>L26-07</x:v>
      </x:c>
      <x:c r="I89" s="20" t="str">
        <x:v>Atelier B</x:v>
      </x:c>
      <x:c r="J89" s="20" t="n">
        <x:v>6</x:v>
      </x:c>
      <x:c r="K89" s="22" t="n">
        <x:v>27.62</x:v>
      </x:c>
      <x:c r="L89" s="20" t="str">
        <x:v>Réparation</x:v>
      </x:c>
    </x:row>
    <x:row r="90">
      <x:c r="A90" s="20" t="str">
        <x:v>R087</x:v>
      </x:c>
      <x:c r="B90" s="21" t="n">
        <x:v>46247</x:v>
      </x:c>
      <x:c r="C90" s="20" t="str">
        <x:v>Site e-commerce</x:v>
      </x:c>
      <x:c r="D90" s="20" t="str">
        <x:v>J-102</x:v>
      </x:c>
      <x:c r="E90" s="20" t="str">
        <x:v>46</x:v>
      </x:c>
      <x:c r="F90" s="20" t="str">
        <x:v>Couture</x:v>
      </x:c>
      <x:c r="G90" s="20" t="str">
        <x:v>Ourlet</x:v>
      </x:c>
      <x:c r="H90" s="20" t="str">
        <x:v>L26-09</x:v>
      </x:c>
      <x:c r="I90" s="20" t="str">
        <x:v>Atelier D</x:v>
      </x:c>
      <x:c r="J90" s="20" t="n">
        <x:v>7</x:v>
      </x:c>
      <x:c r="K90" s="22" t="n">
        <x:v>21.95</x:v>
      </x:c>
      <x:c r="L90" s="20" t="str">
        <x:v>Avoir revendeur</x:v>
      </x:c>
    </x:row>
    <x:row r="91">
      <x:c r="A91" s="20" t="str">
        <x:v>R088</x:v>
      </x:c>
      <x:c r="B91" s="21" t="n">
        <x:v>46225</x:v>
      </x:c>
      <x:c r="C91" s="20" t="str">
        <x:v>Site e-commerce</x:v>
      </x:c>
      <x:c r="D91" s="20" t="str">
        <x:v>CH-301</x:v>
      </x:c>
      <x:c r="E91" s="20" t="str">
        <x:v>38</x:v>
      </x:c>
      <x:c r="F91" s="20" t="str">
        <x:v>Défaut matière</x:v>
      </x:c>
      <x:c r="G91" s="20" t="str">
        <x:v>Élasticité</x:v>
      </x:c>
      <x:c r="H91" s="20" t="str">
        <x:v>L26-08</x:v>
      </x:c>
      <x:c r="I91" s="20" t="str">
        <x:v>Atelier D</x:v>
      </x:c>
      <x:c r="J91" s="20" t="n">
        <x:v>6</x:v>
      </x:c>
      <x:c r="K91" s="22" t="n">
        <x:v>26.97</x:v>
      </x:c>
      <x:c r="L91" s="20" t="str">
        <x:v>Remboursement</x:v>
      </x:c>
    </x:row>
    <x:row r="92">
      <x:c r="A92" s="20" t="str">
        <x:v>R089</x:v>
      </x:c>
      <x:c r="B92" s="21" t="n">
        <x:v>46254</x:v>
      </x:c>
      <x:c r="C92" s="20" t="str">
        <x:v>Site e-commerce</x:v>
      </x:c>
      <x:c r="D92" s="20" t="str">
        <x:v>J-102</x:v>
      </x:c>
      <x:c r="E92" s="20" t="str">
        <x:v>44</x:v>
      </x:c>
      <x:c r="F92" s="20" t="str">
        <x:v>Taille / coupe</x:v>
      </x:c>
      <x:c r="G92" s="20" t="str">
        <x:v>Coupe différente du modèle essayé</x:v>
      </x:c>
      <x:c r="H92" s="20" t="str">
        <x:v>L26-07</x:v>
      </x:c>
      <x:c r="I92" s="20" t="str">
        <x:v>Atelier B</x:v>
      </x:c>
      <x:c r="J92" s="20" t="n">
        <x:v>3</x:v>
      </x:c>
      <x:c r="K92" s="22" t="n">
        <x:v>16.05</x:v>
      </x:c>
      <x:c r="L92" s="20" t="str">
        <x:v>Réparation</x:v>
      </x:c>
    </x:row>
    <x:row r="93">
      <x:c r="A93" s="20" t="str">
        <x:v>R090</x:v>
      </x:c>
      <x:c r="B93" s="21" t="n">
        <x:v>46222</x:v>
      </x:c>
      <x:c r="C93" s="20" t="str">
        <x:v>Revendeur</x:v>
      </x:c>
      <x:c r="D93" s="20" t="str">
        <x:v>J-201</x:v>
      </x:c>
      <x:c r="E93" s="20" t="str">
        <x:v>46</x:v>
      </x:c>
      <x:c r="F93" s="20" t="str">
        <x:v>Autre</x:v>
      </x:c>
      <x:c r="G93" s="20" t="str">
        <x:v>Erreur de commande</x:v>
      </x:c>
      <x:c r="H93" s="20" t="str">
        <x:v>L26-09</x:v>
      </x:c>
      <x:c r="I93" s="20" t="str">
        <x:v>Atelier B</x:v>
      </x:c>
      <x:c r="J93" s="20" t="n">
        <x:v>4</x:v>
      </x:c>
      <x:c r="K93" s="22" t="n">
        <x:v>23.8</x:v>
      </x:c>
      <x:c r="L93" s="20" t="str">
        <x:v>Échange</x:v>
      </x:c>
    </x:row>
    <x:row r="94">
      <x:c r="A94" s="20" t="str">
        <x:v>R091</x:v>
      </x:c>
      <x:c r="B94" s="21" t="n">
        <x:v>46270</x:v>
      </x:c>
      <x:c r="C94" s="20" t="str">
        <x:v>Site e-commerce</x:v>
      </x:c>
      <x:c r="D94" s="20" t="str">
        <x:v>J-102</x:v>
      </x:c>
      <x:c r="E94" s="20" t="str">
        <x:v>40</x:v>
      </x:c>
      <x:c r="F94" s="20" t="str">
        <x:v>Taille / coupe</x:v>
      </x:c>
      <x:c r="G94" s="20" t="str">
        <x:v>Taille perçue trop petite</x:v>
      </x:c>
      <x:c r="H94" s="20" t="str">
        <x:v>L26-09</x:v>
      </x:c>
      <x:c r="I94" s="20" t="str">
        <x:v>Atelier D</x:v>
      </x:c>
      <x:c r="J94" s="20" t="n">
        <x:v>6</x:v>
      </x:c>
      <x:c r="K94" s="22" t="n">
        <x:v>15.62</x:v>
      </x:c>
      <x:c r="L94" s="20" t="str">
        <x:v>Échange</x:v>
      </x:c>
    </x:row>
    <x:row r="95">
      <x:c r="A95" s="20" t="str">
        <x:v>R092</x:v>
      </x:c>
      <x:c r="B95" s="21" t="n">
        <x:v>46265</x:v>
      </x:c>
      <x:c r="C95" s="20" t="str">
        <x:v>Revendeur</x:v>
      </x:c>
      <x:c r="D95" s="20" t="str">
        <x:v>J-101</x:v>
      </x:c>
      <x:c r="E95" s="20" t="str">
        <x:v>44</x:v>
      </x:c>
      <x:c r="F95" s="20" t="str">
        <x:v>Couture</x:v>
      </x:c>
      <x:c r="G95" s="20" t="str">
        <x:v>Surpiqûre irrégulière</x:v>
      </x:c>
      <x:c r="H95" s="20" t="str">
        <x:v>L26-08</x:v>
      </x:c>
      <x:c r="I95" s="20" t="str">
        <x:v>Atelier C</x:v>
      </x:c>
      <x:c r="J95" s="20" t="n">
        <x:v>8</x:v>
      </x:c>
      <x:c r="K95" s="22" t="n">
        <x:v>22.12</x:v>
      </x:c>
      <x:c r="L95" s="20" t="str">
        <x:v>Échange</x:v>
      </x:c>
    </x:row>
    <x:row r="96">
      <x:c r="A96" s="20" t="str">
        <x:v>R093</x:v>
      </x:c>
      <x:c r="B96" s="21" t="n">
        <x:v>46232</x:v>
      </x:c>
      <x:c r="C96" s="20" t="str">
        <x:v>Site e-commerce</x:v>
      </x:c>
      <x:c r="D96" s="20" t="str">
        <x:v>CH-301</x:v>
      </x:c>
      <x:c r="E96" s="20" t="str">
        <x:v>38</x:v>
      </x:c>
      <x:c r="F96" s="20" t="str">
        <x:v>Livraison / préparation</x:v>
      </x:c>
      <x:c r="G96" s="20" t="str">
        <x:v>Mauvaise taille expédiée</x:v>
      </x:c>
      <x:c r="H96" s="20" t="str">
        <x:v>L26-08</x:v>
      </x:c>
      <x:c r="I96" s="20" t="str">
        <x:v>Atelier C</x:v>
      </x:c>
      <x:c r="J96" s="20" t="n">
        <x:v>6</x:v>
      </x:c>
      <x:c r="K96" s="22" t="n">
        <x:v>17.41</x:v>
      </x:c>
      <x:c r="L96" s="20" t="str">
        <x:v>Réparation</x:v>
      </x:c>
    </x:row>
    <x:row r="97">
      <x:c r="A97" s="20" t="str">
        <x:v>R094</x:v>
      </x:c>
      <x:c r="B97" s="21" t="n">
        <x:v>46277</x:v>
      </x:c>
      <x:c r="C97" s="20" t="str">
        <x:v>Boutique 1083</x:v>
      </x:c>
      <x:c r="D97" s="20" t="str">
        <x:v>J-101</x:v>
      </x:c>
      <x:c r="E97" s="20" t="str">
        <x:v>40</x:v>
      </x:c>
      <x:c r="F97" s="20" t="str">
        <x:v>Couture</x:v>
      </x:c>
      <x:c r="G97" s="20" t="str">
        <x:v>Surpiqûre irrégulière</x:v>
      </x:c>
      <x:c r="H97" s="20" t="str">
        <x:v>L26-08</x:v>
      </x:c>
      <x:c r="I97" s="20" t="str">
        <x:v>Atelier C</x:v>
      </x:c>
      <x:c r="J97" s="20" t="n">
        <x:v>5</x:v>
      </x:c>
      <x:c r="K97" s="22" t="n">
        <x:v>23.93</x:v>
      </x:c>
      <x:c r="L97" s="20" t="str">
        <x:v>Remboursement</x:v>
      </x:c>
    </x:row>
    <x:row r="98">
      <x:c r="A98" s="20" t="str">
        <x:v>R095</x:v>
      </x:c>
      <x:c r="B98" s="21" t="n">
        <x:v>46286</x:v>
      </x:c>
      <x:c r="C98" s="20" t="str">
        <x:v>Revendeur</x:v>
      </x:c>
      <x:c r="D98" s="20" t="str">
        <x:v>J-201</x:v>
      </x:c>
      <x:c r="E98" s="20" t="str">
        <x:v>44</x:v>
      </x:c>
      <x:c r="F98" s="20" t="str">
        <x:v>Taille / coupe</x:v>
      </x:c>
      <x:c r="G98" s="20" t="str">
        <x:v>Taille perçue trop petite</x:v>
      </x:c>
      <x:c r="H98" s="20" t="str">
        <x:v>L26-07</x:v>
      </x:c>
      <x:c r="I98" s="20" t="str">
        <x:v>Atelier C</x:v>
      </x:c>
      <x:c r="J98" s="20" t="n">
        <x:v>5</x:v>
      </x:c>
      <x:c r="K98" s="22" t="n">
        <x:v>18.03</x:v>
      </x:c>
      <x:c r="L98" s="20" t="str">
        <x:v>Réparation</x:v>
      </x:c>
    </x:row>
    <x:row r="99">
      <x:c r="A99" s="20" t="str">
        <x:v>R096</x:v>
      </x:c>
      <x:c r="B99" s="21" t="n">
        <x:v>46244</x:v>
      </x:c>
      <x:c r="C99" s="20" t="str">
        <x:v>Revendeur</x:v>
      </x:c>
      <x:c r="D99" s="20" t="str">
        <x:v>V-401</x:v>
      </x:c>
      <x:c r="E99" s="20" t="str">
        <x:v>36</x:v>
      </x:c>
      <x:c r="F99" s="20" t="str">
        <x:v>Couture</x:v>
      </x:c>
      <x:c r="G99" s="20" t="str">
        <x:v>Ourlet</x:v>
      </x:c>
      <x:c r="H99" s="20" t="str">
        <x:v>L26-08</x:v>
      </x:c>
      <x:c r="I99" s="20" t="str">
        <x:v>Atelier D</x:v>
      </x:c>
      <x:c r="J99" s="20" t="n">
        <x:v>12</x:v>
      </x:c>
      <x:c r="K99" s="22" t="n">
        <x:v>17.69</x:v>
      </x:c>
      <x:c r="L99" s="20" t="str">
        <x:v>Remboursement</x:v>
      </x:c>
    </x:row>
    <x:row r="100">
      <x:c r="A100" s="20" t="str">
        <x:v>R097</x:v>
      </x:c>
      <x:c r="B100" s="21" t="n">
        <x:v>46234</x:v>
      </x:c>
      <x:c r="C100" s="20" t="str">
        <x:v>Revendeur</x:v>
      </x:c>
      <x:c r="D100" s="20" t="str">
        <x:v>V-401</x:v>
      </x:c>
      <x:c r="E100" s="20" t="str">
        <x:v>44</x:v>
      </x:c>
      <x:c r="F100" s="20" t="str">
        <x:v>Taille / coupe</x:v>
      </x:c>
      <x:c r="G100" s="20" t="str">
        <x:v>Longueur non conforme attente</x:v>
      </x:c>
      <x:c r="H100" s="20" t="str">
        <x:v>L26-08</x:v>
      </x:c>
      <x:c r="I100" s="20" t="str">
        <x:v>Atelier B</x:v>
      </x:c>
      <x:c r="J100" s="20" t="n">
        <x:v>9</x:v>
      </x:c>
      <x:c r="K100" s="22" t="n">
        <x:v>11.73</x:v>
      </x:c>
      <x:c r="L100" s="20" t="str">
        <x:v>Échange</x:v>
      </x:c>
    </x:row>
    <x:row r="101">
      <x:c r="A101" s="20" t="str">
        <x:v>R098</x:v>
      </x:c>
      <x:c r="B101" s="21" t="n">
        <x:v>46225</x:v>
      </x:c>
      <x:c r="C101" s="20" t="str">
        <x:v>Site e-commerce</x:v>
      </x:c>
      <x:c r="D101" s="20" t="str">
        <x:v>J-201</x:v>
      </x:c>
      <x:c r="E101" s="20" t="str">
        <x:v>38</x:v>
      </x:c>
      <x:c r="F101" s="20" t="str">
        <x:v>Finition / délavage</x:v>
      </x:c>
      <x:c r="G101" s="20" t="str">
        <x:v>Teinte perçue différente</x:v>
      </x:c>
      <x:c r="H101" s="20" t="str">
        <x:v>L26-07</x:v>
      </x:c>
      <x:c r="I101" s="20" t="str">
        <x:v>Atelier A</x:v>
      </x:c>
      <x:c r="J101" s="20" t="n">
        <x:v>5</x:v>
      </x:c>
      <x:c r="K101" s="22" t="n">
        <x:v>28.42</x:v>
      </x:c>
      <x:c r="L101" s="20" t="str">
        <x:v>Avoir revendeur</x:v>
      </x:c>
    </x:row>
    <x:row r="102">
      <x:c r="A102" s="20" t="str">
        <x:v>R099</x:v>
      </x:c>
      <x:c r="B102" s="21" t="n">
        <x:v>46280</x:v>
      </x:c>
      <x:c r="C102" s="20" t="str">
        <x:v>Site e-commerce</x:v>
      </x:c>
      <x:c r="D102" s="20" t="str">
        <x:v>V-401</x:v>
      </x:c>
      <x:c r="E102" s="20" t="str">
        <x:v>42</x:v>
      </x:c>
      <x:c r="F102" s="20" t="str">
        <x:v>Accessoire</x:v>
      </x:c>
      <x:c r="G102" s="20" t="str">
        <x:v>Bouton</x:v>
      </x:c>
      <x:c r="H102" s="20" t="str">
        <x:v>L26-08</x:v>
      </x:c>
      <x:c r="I102" s="20" t="str">
        <x:v>Atelier A</x:v>
      </x:c>
      <x:c r="J102" s="20" t="n">
        <x:v>4</x:v>
      </x:c>
      <x:c r="K102" s="22" t="n">
        <x:v>21.68</x:v>
      </x:c>
      <x:c r="L102" s="20" t="str">
        <x:v>Échange</x:v>
      </x:c>
    </x:row>
    <x:row r="103">
      <x:c r="A103" s="20" t="str">
        <x:v>R100</x:v>
      </x:c>
      <x:c r="B103" s="21" t="n">
        <x:v>46207</x:v>
      </x:c>
      <x:c r="C103" s="20" t="str">
        <x:v>Boutique 1083</x:v>
      </x:c>
      <x:c r="D103" s="20" t="str">
        <x:v>J-201</x:v>
      </x:c>
      <x:c r="E103" s="20" t="str">
        <x:v>44</x:v>
      </x:c>
      <x:c r="F103" s="20" t="str">
        <x:v>Finition / délavage</x:v>
      </x:c>
      <x:c r="G103" s="20" t="str">
        <x:v>Teinte perçue différente</x:v>
      </x:c>
      <x:c r="H103" s="20" t="str">
        <x:v>L26-08</x:v>
      </x:c>
      <x:c r="I103" s="20" t="str">
        <x:v>Atelier A</x:v>
      </x:c>
      <x:c r="J103" s="20" t="n">
        <x:v>7</x:v>
      </x:c>
      <x:c r="K103" s="22" t="n">
        <x:v>33.88</x:v>
      </x:c>
      <x:c r="L103" s="20" t="str">
        <x:v>Remboursement</x:v>
      </x:c>
    </x:row>
    <x:row r="104">
      <x:c r="A104" s="20" t="str">
        <x:v>R101</x:v>
      </x:c>
      <x:c r="B104" s="21" t="n">
        <x:v>46223</x:v>
      </x:c>
      <x:c r="C104" s="20" t="str">
        <x:v>Boutique 1083</x:v>
      </x:c>
      <x:c r="D104" s="20" t="str">
        <x:v>J-201</x:v>
      </x:c>
      <x:c r="E104" s="20" t="str">
        <x:v>36</x:v>
      </x:c>
      <x:c r="F104" s="20" t="str">
        <x:v>Accessoire</x:v>
      </x:c>
      <x:c r="G104" s="20" t="str">
        <x:v>Zip</x:v>
      </x:c>
      <x:c r="H104" s="20" t="str">
        <x:v>L26-08</x:v>
      </x:c>
      <x:c r="I104" s="20" t="str">
        <x:v>Atelier B</x:v>
      </x:c>
      <x:c r="J104" s="20" t="n">
        <x:v>4</x:v>
      </x:c>
      <x:c r="K104" s="22" t="n">
        <x:v>36.44</x:v>
      </x:c>
      <x:c r="L104" s="20" t="str">
        <x:v>Remboursement</x:v>
      </x:c>
    </x:row>
    <x:row r="105">
      <x:c r="A105" s="20" t="str">
        <x:v>R102</x:v>
      </x:c>
      <x:c r="B105" s="21" t="n">
        <x:v>46279</x:v>
      </x:c>
      <x:c r="C105" s="20" t="str">
        <x:v>Site e-commerce</x:v>
      </x:c>
      <x:c r="D105" s="20" t="str">
        <x:v>J-102</x:v>
      </x:c>
      <x:c r="E105" s="20" t="str">
        <x:v>36</x:v>
      </x:c>
      <x:c r="F105" s="20" t="str">
        <x:v>Finition / délavage</x:v>
      </x:c>
      <x:c r="G105" s="20" t="str">
        <x:v>Teinte perçue différente</x:v>
      </x:c>
      <x:c r="H105" s="20" t="str">
        <x:v>L26-06</x:v>
      </x:c>
      <x:c r="I105" s="20" t="str">
        <x:v>Atelier D</x:v>
      </x:c>
      <x:c r="J105" s="20" t="n">
        <x:v>6</x:v>
      </x:c>
      <x:c r="K105" s="22" t="n">
        <x:v>13.41</x:v>
      </x:c>
      <x:c r="L105" s="20" t="str">
        <x:v>Échange</x:v>
      </x:c>
    </x:row>
    <x:row r="106">
      <x:c r="A106" s="20" t="str">
        <x:v>R103</x:v>
      </x:c>
      <x:c r="B106" s="21" t="n">
        <x:v>46210</x:v>
      </x:c>
      <x:c r="C106" s="20" t="str">
        <x:v>Boutique 1083</x:v>
      </x:c>
      <x:c r="D106" s="20" t="str">
        <x:v>J-101</x:v>
      </x:c>
      <x:c r="E106" s="20" t="str">
        <x:v>40</x:v>
      </x:c>
      <x:c r="F106" s="20" t="str">
        <x:v>Couture</x:v>
      </x:c>
      <x:c r="G106" s="20" t="str">
        <x:v>Passant fragile</x:v>
      </x:c>
      <x:c r="H106" s="20" t="str">
        <x:v>L26-08</x:v>
      </x:c>
      <x:c r="I106" s="20" t="str">
        <x:v>Atelier C</x:v>
      </x:c>
      <x:c r="J106" s="20" t="n">
        <x:v>2</x:v>
      </x:c>
      <x:c r="K106" s="22" t="n">
        <x:v>25.69</x:v>
      </x:c>
      <x:c r="L106" s="20" t="str">
        <x:v>Réparation</x:v>
      </x:c>
    </x:row>
    <x:row r="107">
      <x:c r="A107" s="20" t="str">
        <x:v>R104</x:v>
      </x:c>
      <x:c r="B107" s="21" t="n">
        <x:v>46226</x:v>
      </x:c>
      <x:c r="C107" s="20" t="str">
        <x:v>Site e-commerce</x:v>
      </x:c>
      <x:c r="D107" s="20" t="str">
        <x:v>CH-301</x:v>
      </x:c>
      <x:c r="E107" s="20" t="str">
        <x:v>40</x:v>
      </x:c>
      <x:c r="F107" s="20" t="str">
        <x:v>Autre</x:v>
      </x:c>
      <x:c r="G107" s="20" t="str">
        <x:v>Changement d'avis</x:v>
      </x:c>
      <x:c r="H107" s="20" t="str">
        <x:v>L26-08</x:v>
      </x:c>
      <x:c r="I107" s="20" t="str">
        <x:v>Atelier B</x:v>
      </x:c>
      <x:c r="J107" s="20" t="n">
        <x:v>8</x:v>
      </x:c>
      <x:c r="K107" s="22" t="n">
        <x:v>28.69</x:v>
      </x:c>
      <x:c r="L107" s="20" t="str">
        <x:v>Échange</x:v>
      </x:c>
    </x:row>
    <x:row r="108">
      <x:c r="A108" s="20" t="str">
        <x:v>R105</x:v>
      </x:c>
      <x:c r="B108" s="21" t="n">
        <x:v>46240</x:v>
      </x:c>
      <x:c r="C108" s="20" t="str">
        <x:v>Site e-commerce</x:v>
      </x:c>
      <x:c r="D108" s="20" t="str">
        <x:v>CH-301</x:v>
      </x:c>
      <x:c r="E108" s="20" t="str">
        <x:v>40</x:v>
      </x:c>
      <x:c r="F108" s="20" t="str">
        <x:v>Accessoire</x:v>
      </x:c>
      <x:c r="G108" s="20" t="str">
        <x:v>Zip</x:v>
      </x:c>
      <x:c r="H108" s="20" t="str">
        <x:v>L26-07</x:v>
      </x:c>
      <x:c r="I108" s="20" t="str">
        <x:v>Atelier B</x:v>
      </x:c>
      <x:c r="J108" s="20" t="n">
        <x:v>8</x:v>
      </x:c>
      <x:c r="K108" s="22" t="n">
        <x:v>31.95</x:v>
      </x:c>
      <x:c r="L108" s="20" t="str">
        <x:v>Échange</x:v>
      </x:c>
    </x:row>
    <x:row r="109">
      <x:c r="A109" s="20" t="str">
        <x:v>R106</x:v>
      </x:c>
      <x:c r="B109" s="21" t="n">
        <x:v>46231</x:v>
      </x:c>
      <x:c r="C109" s="20" t="str">
        <x:v>Site e-commerce</x:v>
      </x:c>
      <x:c r="D109" s="20" t="str">
        <x:v>V-401</x:v>
      </x:c>
      <x:c r="E109" s="20" t="str">
        <x:v>44</x:v>
      </x:c>
      <x:c r="F109" s="20" t="str">
        <x:v>Taille / coupe</x:v>
      </x:c>
      <x:c r="G109" s="20" t="str">
        <x:v>Coupe différente du modèle essayé</x:v>
      </x:c>
      <x:c r="H109" s="20" t="str">
        <x:v>L26-06</x:v>
      </x:c>
      <x:c r="I109" s="20" t="str">
        <x:v>Atelier B</x:v>
      </x:c>
      <x:c r="J109" s="20" t="n">
        <x:v>4</x:v>
      </x:c>
      <x:c r="K109" s="22" t="n">
        <x:v>28.14</x:v>
      </x:c>
      <x:c r="L109" s="20" t="str">
        <x:v>Échange</x:v>
      </x:c>
    </x:row>
    <x:row r="110">
      <x:c r="A110" s="20" t="str">
        <x:v>R107</x:v>
      </x:c>
      <x:c r="B110" s="21" t="n">
        <x:v>46252</x:v>
      </x:c>
      <x:c r="C110" s="20" t="str">
        <x:v>Boutique 1083</x:v>
      </x:c>
      <x:c r="D110" s="20" t="str">
        <x:v>J-101</x:v>
      </x:c>
      <x:c r="E110" s="20" t="str">
        <x:v>38</x:v>
      </x:c>
      <x:c r="F110" s="20" t="str">
        <x:v>Couture</x:v>
      </x:c>
      <x:c r="G110" s="20" t="str">
        <x:v>Poche arrière décousue</x:v>
      </x:c>
      <x:c r="H110" s="20" t="str">
        <x:v>L26-08</x:v>
      </x:c>
      <x:c r="I110" s="20" t="str">
        <x:v>Atelier C</x:v>
      </x:c>
      <x:c r="J110" s="20" t="n">
        <x:v>8</x:v>
      </x:c>
      <x:c r="K110" s="22" t="n">
        <x:v>32.33</x:v>
      </x:c>
      <x:c r="L110" s="20" t="str">
        <x:v>Échange</x:v>
      </x:c>
    </x:row>
    <x:row r="111">
      <x:c r="A111" s="20" t="str">
        <x:v>R108</x:v>
      </x:c>
      <x:c r="B111" s="21" t="n">
        <x:v>46221</x:v>
      </x:c>
      <x:c r="C111" s="20" t="str">
        <x:v>Boutique 1083</x:v>
      </x:c>
      <x:c r="D111" s="20" t="str">
        <x:v>V-401</x:v>
      </x:c>
      <x:c r="E111" s="20" t="str">
        <x:v>38</x:v>
      </x:c>
      <x:c r="F111" s="20" t="str">
        <x:v>Défaut matière</x:v>
      </x:c>
      <x:c r="G111" s="20" t="str">
        <x:v>Accroc tissu</x:v>
      </x:c>
      <x:c r="H111" s="20" t="str">
        <x:v>L26-06</x:v>
      </x:c>
      <x:c r="I111" s="20" t="str">
        <x:v>Atelier A</x:v>
      </x:c>
      <x:c r="J111" s="20" t="n">
        <x:v>8</x:v>
      </x:c>
      <x:c r="K111" s="22" t="n">
        <x:v>33.88</x:v>
      </x:c>
      <x:c r="L111" s="20" t="str">
        <x:v>Échange</x:v>
      </x:c>
    </x:row>
    <x:row r="112">
      <x:c r="A112" s="20" t="str">
        <x:v>R109</x:v>
      </x:c>
      <x:c r="B112" s="21" t="n">
        <x:v>46236</x:v>
      </x:c>
      <x:c r="C112" s="20" t="str">
        <x:v>Site e-commerce</x:v>
      </x:c>
      <x:c r="D112" s="20" t="str">
        <x:v>J-101</x:v>
      </x:c>
      <x:c r="E112" s="20" t="str">
        <x:v>36</x:v>
      </x:c>
      <x:c r="F112" s="20" t="str">
        <x:v>Accessoire</x:v>
      </x:c>
      <x:c r="G112" s="20" t="str">
        <x:v>Bouton</x:v>
      </x:c>
      <x:c r="H112" s="20" t="str">
        <x:v>L26-08</x:v>
      </x:c>
      <x:c r="I112" s="20" t="str">
        <x:v>Atelier C</x:v>
      </x:c>
      <x:c r="J112" s="20" t="n">
        <x:v>9</x:v>
      </x:c>
      <x:c r="K112" s="22" t="n">
        <x:v>36.07</x:v>
      </x:c>
      <x:c r="L112" s="20" t="str">
        <x:v>Réparation</x:v>
      </x:c>
    </x:row>
    <x:row r="113">
      <x:c r="A113" s="20" t="str">
        <x:v>R110</x:v>
      </x:c>
      <x:c r="B113" s="21" t="n">
        <x:v>46274</x:v>
      </x:c>
      <x:c r="C113" s="20" t="str">
        <x:v>Revendeur</x:v>
      </x:c>
      <x:c r="D113" s="20" t="str">
        <x:v>J-102</x:v>
      </x:c>
      <x:c r="E113" s="20" t="str">
        <x:v>42</x:v>
      </x:c>
      <x:c r="F113" s="20" t="str">
        <x:v>Autre</x:v>
      </x:c>
      <x:c r="G113" s="20" t="str">
        <x:v>Changement d'avis</x:v>
      </x:c>
      <x:c r="H113" s="20" t="str">
        <x:v>L26-09</x:v>
      </x:c>
      <x:c r="I113" s="20" t="str">
        <x:v>Atelier B</x:v>
      </x:c>
      <x:c r="J113" s="20" t="n">
        <x:v>13</x:v>
      </x:c>
      <x:c r="K113" s="22" t="n">
        <x:v>20.74</x:v>
      </x:c>
      <x:c r="L113" s="20" t="str">
        <x:v>Remboursement</x:v>
      </x:c>
    </x:row>
    <x:row r="114">
      <x:c r="A114" s="20" t="str">
        <x:v>R111</x:v>
      </x:c>
      <x:c r="B114" s="21" t="n">
        <x:v>46253</x:v>
      </x:c>
      <x:c r="C114" s="20" t="str">
        <x:v>Site e-commerce</x:v>
      </x:c>
      <x:c r="D114" s="20" t="str">
        <x:v>J-101</x:v>
      </x:c>
      <x:c r="E114" s="20" t="str">
        <x:v>38</x:v>
      </x:c>
      <x:c r="F114" s="20" t="str">
        <x:v>Accessoire</x:v>
      </x:c>
      <x:c r="G114" s="20" t="str">
        <x:v>Zip</x:v>
      </x:c>
      <x:c r="H114" s="20" t="str">
        <x:v>L26-09</x:v>
      </x:c>
      <x:c r="I114" s="20" t="str">
        <x:v>Atelier A</x:v>
      </x:c>
      <x:c r="J114" s="20" t="n">
        <x:v>7</x:v>
      </x:c>
      <x:c r="K114" s="22" t="n">
        <x:v>21.13</x:v>
      </x:c>
      <x:c r="L114" s="20" t="str">
        <x:v>Avoir revendeur</x:v>
      </x:c>
    </x:row>
    <x:row r="115">
      <x:c r="A115" s="20" t="str">
        <x:v>R112</x:v>
      </x:c>
      <x:c r="B115" s="21" t="n">
        <x:v>46284</x:v>
      </x:c>
      <x:c r="C115" s="20" t="str">
        <x:v>Site e-commerce</x:v>
      </x:c>
      <x:c r="D115" s="20" t="str">
        <x:v>V-401</x:v>
      </x:c>
      <x:c r="E115" s="20" t="str">
        <x:v>44</x:v>
      </x:c>
      <x:c r="F115" s="20" t="str">
        <x:v>Taille / coupe</x:v>
      </x:c>
      <x:c r="G115" s="20" t="str">
        <x:v>Coupe différente du modèle essayé</x:v>
      </x:c>
      <x:c r="H115" s="20" t="str">
        <x:v>L26-06</x:v>
      </x:c>
      <x:c r="I115" s="20" t="str">
        <x:v>Atelier B</x:v>
      </x:c>
      <x:c r="J115" s="20" t="n">
        <x:v>2</x:v>
      </x:c>
      <x:c r="K115" s="22" t="n">
        <x:v>9.12</x:v>
      </x:c>
      <x:c r="L115" s="20" t="str">
        <x:v>Échange</x:v>
      </x:c>
    </x:row>
    <x:row r="116">
      <x:c r="A116" s="20" t="str">
        <x:v>R113</x:v>
      </x:c>
      <x:c r="B116" s="21" t="n">
        <x:v>46250</x:v>
      </x:c>
      <x:c r="C116" s="20" t="str">
        <x:v>Boutique 1083</x:v>
      </x:c>
      <x:c r="D116" s="20" t="str">
        <x:v>CH-301</x:v>
      </x:c>
      <x:c r="E116" s="20" t="str">
        <x:v>42</x:v>
      </x:c>
      <x:c r="F116" s="20" t="str">
        <x:v>Taille / coupe</x:v>
      </x:c>
      <x:c r="G116" s="20" t="str">
        <x:v>Coupe différente du modèle essayé</x:v>
      </x:c>
      <x:c r="H116" s="20" t="str">
        <x:v>L26-07</x:v>
      </x:c>
      <x:c r="I116" s="20" t="str">
        <x:v>Atelier B</x:v>
      </x:c>
      <x:c r="J116" s="20" t="n">
        <x:v>7</x:v>
      </x:c>
      <x:c r="K116" s="22" t="n">
        <x:v>7.31</x:v>
      </x:c>
      <x:c r="L116" s="20" t="str">
        <x:v>Remboursement</x:v>
      </x:c>
    </x:row>
    <x:row r="117">
      <x:c r="A117" s="20" t="str">
        <x:v>R114</x:v>
      </x:c>
      <x:c r="B117" s="21" t="n">
        <x:v>46260</x:v>
      </x:c>
      <x:c r="C117" s="20" t="str">
        <x:v>Site e-commerce</x:v>
      </x:c>
      <x:c r="D117" s="20" t="str">
        <x:v>J-102</x:v>
      </x:c>
      <x:c r="E117" s="20" t="str">
        <x:v>38</x:v>
      </x:c>
      <x:c r="F117" s="20" t="str">
        <x:v>Autre</x:v>
      </x:c>
      <x:c r="G117" s="20" t="str">
        <x:v>Non précisé</x:v>
      </x:c>
      <x:c r="H117" s="20" t="str">
        <x:v>L26-06</x:v>
      </x:c>
      <x:c r="I117" s="20" t="str">
        <x:v>Atelier C</x:v>
      </x:c>
      <x:c r="J117" s="20" t="n">
        <x:v>7</x:v>
      </x:c>
      <x:c r="K117" s="22" t="n">
        <x:v>41.69</x:v>
      </x:c>
      <x:c r="L117" s="20" t="str">
        <x:v>Échange</x:v>
      </x:c>
    </x:row>
    <x:row r="118">
      <x:c r="A118" s="20" t="str">
        <x:v>R115</x:v>
      </x:c>
      <x:c r="B118" s="21" t="n">
        <x:v>46269</x:v>
      </x:c>
      <x:c r="C118" s="20" t="str">
        <x:v>Site e-commerce</x:v>
      </x:c>
      <x:c r="D118" s="20" t="str">
        <x:v>J-101</x:v>
      </x:c>
      <x:c r="E118" s="20" t="str">
        <x:v>40</x:v>
      </x:c>
      <x:c r="F118" s="20" t="str">
        <x:v>Couture</x:v>
      </x:c>
      <x:c r="G118" s="20" t="str">
        <x:v>Passant fragile</x:v>
      </x:c>
      <x:c r="H118" s="20" t="str">
        <x:v>L26-08</x:v>
      </x:c>
      <x:c r="I118" s="20" t="str">
        <x:v>Atelier C</x:v>
      </x:c>
      <x:c r="J118" s="20" t="n">
        <x:v>11</x:v>
      </x:c>
      <x:c r="K118" s="22" t="n">
        <x:v>25.39</x:v>
      </x:c>
      <x:c r="L118" s="20" t="str">
        <x:v>Échange</x:v>
      </x:c>
    </x:row>
    <x:row r="119">
      <x:c r="A119" s="20" t="str">
        <x:v>R116</x:v>
      </x:c>
      <x:c r="B119" s="21" t="n">
        <x:v>46256</x:v>
      </x:c>
      <x:c r="C119" s="20" t="str">
        <x:v>Boutique 1083</x:v>
      </x:c>
      <x:c r="D119" s="20" t="str">
        <x:v>V-401</x:v>
      </x:c>
      <x:c r="E119" s="20" t="str">
        <x:v>42</x:v>
      </x:c>
      <x:c r="F119" s="20" t="str">
        <x:v>Livraison / préparation</x:v>
      </x:c>
      <x:c r="G119" s="20" t="str">
        <x:v>Colis endommagé</x:v>
      </x:c>
      <x:c r="H119" s="20" t="str">
        <x:v>L26-09</x:v>
      </x:c>
      <x:c r="I119" s="20" t="str">
        <x:v>Atelier A</x:v>
      </x:c>
      <x:c r="J119" s="20" t="n">
        <x:v>3</x:v>
      </x:c>
      <x:c r="K119" s="22" t="n">
        <x:v>25.33</x:v>
      </x:c>
      <x:c r="L119" s="20" t="str">
        <x:v>Avoir revendeur</x:v>
      </x:c>
    </x:row>
    <x:row r="120">
      <x:c r="A120" s="20" t="str">
        <x:v>R117</x:v>
      </x:c>
      <x:c r="B120" s="21" t="n">
        <x:v>46265</x:v>
      </x:c>
      <x:c r="C120" s="20" t="str">
        <x:v>Site e-commerce</x:v>
      </x:c>
      <x:c r="D120" s="20" t="str">
        <x:v>V-401</x:v>
      </x:c>
      <x:c r="E120" s="20" t="str">
        <x:v>44</x:v>
      </x:c>
      <x:c r="F120" s="20" t="str">
        <x:v>Couture</x:v>
      </x:c>
      <x:c r="G120" s="20" t="str">
        <x:v>Poche arrière décousue</x:v>
      </x:c>
      <x:c r="H120" s="20" t="str">
        <x:v>L26-08</x:v>
      </x:c>
      <x:c r="I120" s="20" t="str">
        <x:v>Atelier D</x:v>
      </x:c>
      <x:c r="J120" s="20" t="n">
        <x:v>5</x:v>
      </x:c>
      <x:c r="K120" s="22" t="n">
        <x:v>24.38</x:v>
      </x:c>
      <x:c r="L120" s="20" t="str">
        <x:v>Échange</x:v>
      </x:c>
    </x:row>
    <x:row r="121">
      <x:c r="A121" s="20" t="str">
        <x:v>R118</x:v>
      </x:c>
      <x:c r="B121" s="21" t="n">
        <x:v>46265</x:v>
      </x:c>
      <x:c r="C121" s="20" t="str">
        <x:v>Site e-commerce</x:v>
      </x:c>
      <x:c r="D121" s="20" t="str">
        <x:v>J-102</x:v>
      </x:c>
      <x:c r="E121" s="20" t="str">
        <x:v>44</x:v>
      </x:c>
      <x:c r="F121" s="20" t="str">
        <x:v>Finition / délavage</x:v>
      </x:c>
      <x:c r="G121" s="20" t="str">
        <x:v>Teinte perçue différente</x:v>
      </x:c>
      <x:c r="H121" s="20" t="str">
        <x:v>L26-08</x:v>
      </x:c>
      <x:c r="I121" s="20" t="str">
        <x:v>Atelier C</x:v>
      </x:c>
      <x:c r="J121" s="20" t="n">
        <x:v>8</x:v>
      </x:c>
      <x:c r="K121" s="22" t="n">
        <x:v>14.15</x:v>
      </x:c>
      <x:c r="L121" s="20" t="str">
        <x:v>Réparation</x:v>
      </x:c>
    </x:row>
    <x:row r="122">
      <x:c r="A122" s="20" t="str">
        <x:v>R119</x:v>
      </x:c>
      <x:c r="B122" s="21" t="n">
        <x:v>46206</x:v>
      </x:c>
      <x:c r="C122" s="20" t="str">
        <x:v>Boutique 1083</x:v>
      </x:c>
      <x:c r="D122" s="20" t="str">
        <x:v>J-101</x:v>
      </x:c>
      <x:c r="E122" s="20" t="str">
        <x:v>46</x:v>
      </x:c>
      <x:c r="F122" s="20" t="str">
        <x:v>Couture</x:v>
      </x:c>
      <x:c r="G122" s="20" t="str">
        <x:v>Surpiqûre irrégulière</x:v>
      </x:c>
      <x:c r="H122" s="20" t="str">
        <x:v>L26-08</x:v>
      </x:c>
      <x:c r="I122" s="20" t="str">
        <x:v>Atelier C</x:v>
      </x:c>
      <x:c r="J122" s="20" t="n">
        <x:v>4</x:v>
      </x:c>
      <x:c r="K122" s="22" t="n">
        <x:v>25.57</x:v>
      </x:c>
      <x:c r="L122" s="20" t="str">
        <x:v>Remboursement</x:v>
      </x:c>
    </x:row>
    <x:row r="123">
      <x:c r="A123" s="20" t="str">
        <x:v>R120</x:v>
      </x:c>
      <x:c r="B123" s="21" t="n">
        <x:v>46278</x:v>
      </x:c>
      <x:c r="C123" s="20" t="str">
        <x:v>Site e-commerce</x:v>
      </x:c>
      <x:c r="D123" s="20" t="str">
        <x:v>J-101</x:v>
      </x:c>
      <x:c r="E123" s="20" t="str">
        <x:v>40</x:v>
      </x:c>
      <x:c r="F123" s="20" t="str">
        <x:v>Taille / coupe</x:v>
      </x:c>
      <x:c r="G123" s="20" t="str">
        <x:v>Coupe différente du modèle essayé</x:v>
      </x:c>
      <x:c r="H123" s="20" t="str">
        <x:v>L26-08</x:v>
      </x:c>
      <x:c r="I123" s="20" t="str">
        <x:v>Atelier B</x:v>
      </x:c>
      <x:c r="J123" s="20" t="n">
        <x:v>8</x:v>
      </x:c>
      <x:c r="K123" s="22" t="n">
        <x:v>29.9</x:v>
      </x:c>
      <x:c r="L123" s="20" t="str">
        <x:v>Échange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052a213292d492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14" hidden="0" customWidth="1"/>
    <x:col min="5" max="5" width="18" hidden="0" customWidth="1"/>
    <x:col min="6" max="6" width="20" hidden="0" customWidth="1"/>
    <x:col min="7" max="7" width="20" hidden="0" customWidth="1"/>
    <x:col min="8" max="8" width="26" hidden="0" customWidth="1"/>
    <x:col min="9" max="9" width="26" hidden="0" customWidth="1"/>
    <x:col min="10" max="10" width="30" hidden="0" customWidth="1"/>
    <x:col min="11" max="11" width="40" hidden="0" customWidth="1"/>
  </x:cols>
  <x:sheetData>
    <x:row r="1" ht="32" customHeight="1">
      <x:c r="A1" s="6" t="str">
        <x:v>PARTENAIRES CRÉÉS POUR LE TP — aucune appréciation ci-dessous ne concerne un fournisseur réel de 1083.</x:v>
      </x:c>
      <x:c r="B1"/>
      <x:c r="C1"/>
      <x:c r="D1"/>
      <x:c r="E1"/>
      <x:c r="F1"/>
      <x:c r="G1"/>
      <x:c r="H1"/>
      <x:c r="I1"/>
      <x:c r="J1"/>
      <x:c r="K1"/>
    </x:row>
    <x:row r="2" ht="50" customHeight="1">
      <x:c r="A2" s="40" t="str">
        <x:v>À interpréter avec prudence : un incident récent n’est pas synonyme de dépendance critique, et l’absence d’incident ne prouve pas une faible dépendance. Les colonnes « Certification / preuve » et « Impact environnemental à surveiller » alimentent la veille ; elles ne doivent pas être ajoutées mécaniquement à un score de dépendance.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</x:row>
    <x:row r="3">
      <x:c r="A3" s="14" t="str">
        <x:v>Partenaire pédagogique</x:v>
      </x:c>
      <x:c r="B3" s="14" t="str">
        <x:v>Étape</x:v>
      </x:c>
      <x:c r="C3" s="14" t="str">
        <x:v>Part des volumes concernés</x:v>
      </x:c>
      <x:c r="D3" s="14" t="str">
        <x:v>Délai moyen</x:v>
      </x:c>
      <x:c r="E3" s="14" t="str">
        <x:v>Alternative qualifiée ?</x:v>
      </x:c>
      <x:c r="F3" s="14" t="str">
        <x:v>Délai de substitution</x:v>
      </x:c>
      <x:c r="G3" s="14" t="str">
        <x:v>Dépendance technique</x:v>
      </x:c>
      <x:c r="H3" s="14" t="str">
        <x:v>Certification / preuve</x:v>
      </x:c>
      <x:c r="I3" s="14" t="str">
        <x:v>Incident 12 derniers mois</x:v>
      </x:c>
      <x:c r="J3" s="14" t="str">
        <x:v>Impact environnemental à surveiller</x:v>
      </x:c>
      <x:c r="K3" s="14" t="str">
        <x:v>Observation</x:v>
      </x:c>
    </x:row>
    <x:row r="4">
      <x:c r="A4" s="20" t="str">
        <x:v>Partenaire A</x:v>
      </x:c>
      <x:c r="B4" s="20" t="str">
        <x:v>Filature coton</x:v>
      </x:c>
      <x:c r="C4" s="28" t="str">
        <x:v>42 %</x:v>
      </x:c>
      <x:c r="D4" s="20" t="str">
        <x:v>4 sem.</x:v>
      </x:c>
      <x:c r="E4" s="20" t="str">
        <x:v>Oui</x:v>
      </x:c>
      <x:c r="F4" s="20" t="str">
        <x:v>6 sem.</x:v>
      </x:c>
      <x:c r="G4" s="20" t="str">
        <x:v>Moyenne</x:v>
      </x:c>
      <x:c r="H4" s="20" t="str">
        <x:v>GOTS transmis 2026</x:v>
      </x:c>
      <x:c r="I4" s="20" t="str">
        <x:v>1 retard de 5 jours</x:v>
      </x:c>
      <x:c r="J4" s="20" t="str">
        <x:v>Origine et traçabilité fibre</x:v>
      </x:c>
      <x:c r="K4" s="20" t="str">
        <x:v>Deuxième source disponible mais plus chère.</x:v>
      </x:c>
    </x:row>
    <x:row r="5">
      <x:c r="A5" s="20" t="str">
        <x:v>Partenaire B</x:v>
      </x:c>
      <x:c r="B5" s="20" t="str">
        <x:v>Filature recyclée</x:v>
      </x:c>
      <x:c r="C5" s="28" t="str">
        <x:v>31 %</x:v>
      </x:c>
      <x:c r="D5" s="20" t="str">
        <x:v>5 sem.</x:v>
      </x:c>
      <x:c r="E5" s="20" t="str">
        <x:v>Non</x:v>
      </x:c>
      <x:c r="F5" s="20" t="str">
        <x:v>12 sem.</x:v>
      </x:c>
      <x:c r="G5" s="20" t="str">
        <x:v>Élevée</x:v>
      </x:c>
      <x:c r="H5" s="20" t="str">
        <x:v>Audit interne 2025</x:v>
      </x:c>
      <x:c r="I5" s="20" t="str">
        <x:v>Aucun</x:v>
      </x:c>
      <x:c r="J5" s="20" t="str">
        <x:v>Qualité du recyclé / pertes</x:v>
      </x:c>
      <x:c r="K5" s="20" t="str">
        <x:v>Spécification technique propriétaire.</x:v>
      </x:c>
    </x:row>
    <x:row r="6">
      <x:c r="A6" s="20" t="str">
        <x:v>Partenaire C</x:v>
      </x:c>
      <x:c r="B6" s="20" t="str">
        <x:v>Teinture</x:v>
      </x:c>
      <x:c r="C6" s="28" t="str">
        <x:v>55 %</x:v>
      </x:c>
      <x:c r="D6" s="20" t="str">
        <x:v>3 sem.</x:v>
      </x:c>
      <x:c r="E6" s="20" t="str">
        <x:v>Oui</x:v>
      </x:c>
      <x:c r="F6" s="20" t="str">
        <x:v>8 sem.</x:v>
      </x:c>
      <x:c r="G6" s="20" t="str">
        <x:v>Élevée</x:v>
      </x:c>
      <x:c r="H6" s="20" t="str">
        <x:v>Station d'épuration + attestation</x:v>
      </x:c>
      <x:c r="I6" s="20" t="str">
        <x:v>1 panne de 3 jours</x:v>
      </x:c>
      <x:c r="J6" s="20" t="str">
        <x:v>Eaux usées / produits chimiques</x:v>
      </x:c>
      <x:c r="K6" s="20" t="str">
        <x:v>Alternative testée sur une seule gamme.</x:v>
      </x:c>
    </x:row>
    <x:row r="7">
      <x:c r="A7" s="20" t="str">
        <x:v>Partenaire D</x:v>
      </x:c>
      <x:c r="B7" s="20" t="str">
        <x:v>Tissage</x:v>
      </x:c>
      <x:c r="C7" s="28" t="str">
        <x:v>46 %</x:v>
      </x:c>
      <x:c r="D7" s="20" t="str">
        <x:v>4 sem.</x:v>
      </x:c>
      <x:c r="E7" s="20" t="str">
        <x:v>Oui</x:v>
      </x:c>
      <x:c r="F7" s="20" t="str">
        <x:v>5 sem.</x:v>
      </x:c>
      <x:c r="G7" s="20" t="str">
        <x:v>Moyenne</x:v>
      </x:c>
      <x:c r="H7" s="20" t="str">
        <x:v>OFG / traçabilité</x:v>
      </x:c>
      <x:c r="I7" s="20" t="str">
        <x:v>2 retards</x:v>
      </x:c>
      <x:c r="J7" s="20" t="str">
        <x:v>Énergie / chutes</x:v>
      </x:c>
      <x:c r="K7" s="20" t="str">
        <x:v>Capacité alternative limitée en haute saison.</x:v>
      </x:c>
    </x:row>
    <x:row r="8">
      <x:c r="A8" s="20" t="str">
        <x:v>Partenaire E</x:v>
      </x:c>
      <x:c r="B8" s="20" t="str">
        <x:v>Coupe</x:v>
      </x:c>
      <x:c r="C8" s="28" t="str">
        <x:v>38 %</x:v>
      </x:c>
      <x:c r="D8" s="20" t="str">
        <x:v>2 sem.</x:v>
      </x:c>
      <x:c r="E8" s="20" t="str">
        <x:v>Non</x:v>
      </x:c>
      <x:c r="F8" s="20" t="str">
        <x:v>10 sem.</x:v>
      </x:c>
      <x:c r="G8" s="20" t="str">
        <x:v>Très élevée</x:v>
      </x:c>
      <x:c r="H8" s="20" t="str">
        <x:v>Procédure qualité</x:v>
      </x:c>
      <x:c r="I8" s="20" t="str">
        <x:v>Arrêt machine 2 jours</x:v>
      </x:c>
      <x:c r="J8" s="20" t="str">
        <x:v>Déchets de coupe</x:v>
      </x:c>
      <x:c r="K8" s="20" t="str">
        <x:v>Outillage numérique spécifique.</x:v>
      </x:c>
    </x:row>
    <x:row r="9">
      <x:c r="A9" s="20" t="str">
        <x:v>Partenaire F</x:v>
      </x:c>
      <x:c r="B9" s="20" t="str">
        <x:v>Confection</x:v>
      </x:c>
      <x:c r="C9" s="28" t="str">
        <x:v>34 %</x:v>
      </x:c>
      <x:c r="D9" s="20" t="str">
        <x:v>3 sem.</x:v>
      </x:c>
      <x:c r="E9" s="20" t="str">
        <x:v>Oui</x:v>
      </x:c>
      <x:c r="F9" s="20" t="str">
        <x:v>4 sem.</x:v>
      </x:c>
      <x:c r="G9" s="20" t="str">
        <x:v>Moyenne</x:v>
      </x:c>
      <x:c r="H9" s="20" t="str">
        <x:v>Audit social / qualité</x:v>
      </x:c>
      <x:c r="I9" s="20" t="str">
        <x:v>Hausse retouches</x:v>
      </x:c>
      <x:c r="J9" s="20" t="str">
        <x:v>Déchets / consommation énergie</x:v>
      </x:c>
      <x:c r="K9" s="20" t="str">
        <x:v>Charge élevée septembre-novembre.</x:v>
      </x:c>
    </x:row>
    <x:row r="10">
      <x:c r="A10" s="20" t="str">
        <x:v>Partenaire G</x:v>
      </x:c>
      <x:c r="B10" s="20" t="str">
        <x:v>Confection</x:v>
      </x:c>
      <x:c r="C10" s="28" t="str">
        <x:v>22 %</x:v>
      </x:c>
      <x:c r="D10" s="20" t="str">
        <x:v>4 sem.</x:v>
      </x:c>
      <x:c r="E10" s="20" t="str">
        <x:v>Oui</x:v>
      </x:c>
      <x:c r="F10" s="20" t="str">
        <x:v>5 sem.</x:v>
      </x:c>
      <x:c r="G10" s="20" t="str">
        <x:v>Faible</x:v>
      </x:c>
      <x:c r="H10" s="20" t="str">
        <x:v>Audit qualité</x:v>
      </x:c>
      <x:c r="I10" s="20" t="str">
        <x:v>Aucun</x:v>
      </x:c>
      <x:c r="J10" s="20" t="str">
        <x:v>Énergie</x:v>
      </x:c>
      <x:c r="K10" s="20" t="str">
        <x:v>Capacité disponible.</x:v>
      </x:c>
    </x:row>
    <x:row r="11">
      <x:c r="A11" s="20" t="str">
        <x:v>Partenaire H</x:v>
      </x:c>
      <x:c r="B11" s="20" t="str">
        <x:v>Accessoires métalliques</x:v>
      </x:c>
      <x:c r="C11" s="28" t="str">
        <x:v>62 %</x:v>
      </x:c>
      <x:c r="D11" s="20" t="str">
        <x:v>6 sem.</x:v>
      </x:c>
      <x:c r="E11" s="20" t="str">
        <x:v>Non</x:v>
      </x:c>
      <x:c r="F11" s="20" t="str">
        <x:v>14 sem.</x:v>
      </x:c>
      <x:c r="G11" s="20" t="str">
        <x:v>Élevée</x:v>
      </x:c>
      <x:c r="H11" s="20" t="str">
        <x:v>Déclaration matière</x:v>
      </x:c>
      <x:c r="I11" s="20" t="str">
        <x:v>Retard transport</x:v>
      </x:c>
      <x:c r="J11" s="20" t="str">
        <x:v>Métaux / recyclabilité</x:v>
      </x:c>
      <x:c r="K11" s="20" t="str">
        <x:v>Minimum de commande élevé.</x:v>
      </x:c>
    </x:row>
    <x:row r="12">
      <x:c r="A12" s="20" t="str">
        <x:v>Partenaire I</x:v>
      </x:c>
      <x:c r="B12" s="20" t="str">
        <x:v>Cartons d'expédition</x:v>
      </x:c>
      <x:c r="C12" s="28" t="str">
        <x:v>70 %</x:v>
      </x:c>
      <x:c r="D12" s="20" t="str">
        <x:v>2 sem.</x:v>
      </x:c>
      <x:c r="E12" s="20" t="str">
        <x:v>Oui</x:v>
      </x:c>
      <x:c r="F12" s="20" t="str">
        <x:v>2 sem.</x:v>
      </x:c>
      <x:c r="G12" s="20" t="str">
        <x:v>Faible</x:v>
      </x:c>
      <x:c r="H12" s="20" t="str">
        <x:v>FSC</x:v>
      </x:c>
      <x:c r="I12" s="20" t="str">
        <x:v>Aucun</x:v>
      </x:c>
      <x:c r="J12" s="20" t="str">
        <x:v>Matière / fin de vie emballage</x:v>
      </x:c>
      <x:c r="K12" s="20" t="str">
        <x:v>Risque modéré.</x:v>
      </x:c>
    </x:row>
    <x:row r="13">
      <x:c r="A13" s="20" t="str">
        <x:v>Partenaire J</x:v>
      </x:c>
      <x:c r="B13" s="20" t="str">
        <x:v>Transport B2B</x:v>
      </x:c>
      <x:c r="C13" s="28" t="str">
        <x:v>51 %</x:v>
      </x:c>
      <x:c r="D13" s="20" t="str">
        <x:v>1 sem.</x:v>
      </x:c>
      <x:c r="E13" s="20" t="str">
        <x:v>Oui</x:v>
      </x:c>
      <x:c r="F13" s="20" t="str">
        <x:v>1 sem.</x:v>
      </x:c>
      <x:c r="G13" s="20" t="str">
        <x:v>Faible</x:v>
      </x:c>
      <x:c r="H13" s="20" t="str">
        <x:v>Charte CO2</x:v>
      </x:c>
      <x:c r="I13" s="20" t="str">
        <x:v>2 incidents livraison</x:v>
      </x:c>
      <x:c r="J13" s="20" t="str">
        <x:v>Émissions transport</x:v>
      </x:c>
      <x:c r="K13" s="20" t="str">
        <x:v>Plan B identifié.</x:v>
      </x:c>
    </x:row>
  </x:sheetData>
  <x:mergeCells>
    <x:mergeCell ref="A1:H1"/>
    <x:mergeCell ref="A2:K2"/>
  </x:mergeCells>
  <x:pageMargins left="0.7" right="0.7" top="0.75" bottom="0.75" header="0.3" footer="0.3"/>
  <x:tableParts count="1">
    <x:tablePart xmlns:r="http://schemas.openxmlformats.org/officeDocument/2006/relationships" r:id="Re9a10285b2b04d5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4" hidden="0" customWidth="1"/>
    <x:col min="9" max="9" width="18" hidden="0" customWidth="1"/>
    <x:col min="10" max="10" width="24" hidden="0" customWidth="1"/>
    <x:col min="11" max="11" width="16" hidden="0" customWidth="1"/>
    <x:col min="12" max="12" width="28" hidden="0" customWidth="1"/>
  </x:cols>
  <x:sheetData>
    <x:row r="1" ht="46" customHeight="1">
      <x:c r="A1" s="109" t="str">
        <x:v>SITUATION 6 — PLAN D’ACTIONS QUALITÉ APRÈS DIAGNOSTIC. Ne renseignez les actions détaillées qu’après avoir exploité les preuves disponibles.</x:v>
      </x:c>
      <x:c r="B1" s="109"/>
      <x:c r="C1" s="109"/>
      <x:c r="D1" s="109"/>
      <x:c r="E1" s="109"/>
      <x:c r="F1" s="109"/>
      <x:c r="G1" s="109"/>
      <x:c r="H1" s="109"/>
      <x:c r="I1" s="95"/>
      <x:c r="J1" s="95"/>
      <x:c r="K1" s="95"/>
      <x:c r="L1" s="95"/>
    </x:row>
    <x:row r="2" ht="46" customHeight="1">
      <x:c r="A2" s="98" t="str">
        <x:v>Le planning initial de la situation 5 reste dans « Projet_initial ». Ici, vous transformez le diagnostic en actions testables, puis vous suivez coûts, résultats et décisions.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98"/>
    </x:row>
    <x:row r="3">
      <x:c r="A3" s="14"/>
      <x:c r="B3" s="14"/>
      <x:c r="C3" s="14"/>
      <x:c r="D3" s="14"/>
      <x:c r="E3" s="14"/>
      <x:c r="F3" s="14"/>
      <x:c r="G3" s="14"/>
      <x:c r="H3" s="14"/>
    </x:row>
    <x:row r="4" ht="44" customHeight="1">
      <x:c r="A4" s="92" t="str">
        <x:v>Action / tâche</x:v>
      </x:c>
      <x:c r="B4" s="92" t="str">
        <x:v>Responsable</x:v>
      </x:c>
      <x:c r="C4" s="92" t="str">
        <x:v>Prédécesseur</x:v>
      </x:c>
      <x:c r="D4" s="92" t="str">
        <x:v>Début prévu</x:v>
      </x:c>
      <x:c r="E4" s="92" t="str">
        <x:v>Fin prévue</x:v>
      </x:c>
      <x:c r="F4" s="92" t="str">
        <x:v>Coût prévu (€)</x:v>
      </x:c>
      <x:c r="G4" s="92" t="str">
        <x:v>Coût réel (€)</x:v>
      </x:c>
      <x:c r="H4" s="92" t="str">
        <x:v>Indicateur</x:v>
      </x:c>
      <x:c r="I4" s="92" t="str">
        <x:v>Cible</x:v>
      </x:c>
      <x:c r="J4" s="92" t="str">
        <x:v>Résultat observé</x:v>
      </x:c>
      <x:c r="K4" s="92" t="str">
        <x:v>Statut</x:v>
      </x:c>
      <x:c r="L4" s="92" t="str">
        <x:v>Décision / arbitrage</x:v>
      </x:c>
    </x:row>
    <x:row r="5" ht="42" customHeight="1">
      <x:c r="A5" s="50"/>
      <x:c r="B5" s="50"/>
      <x:c r="C5" s="50"/>
      <x:c r="D5" s="62"/>
      <x:c r="E5" s="62"/>
      <x:c r="F5" s="70"/>
      <x:c r="G5" s="70"/>
      <x:c r="H5" s="50"/>
      <x:c r="I5" s="50"/>
      <x:c r="J5" s="50"/>
      <x:c r="K5" s="50"/>
      <x:c r="L5" s="50"/>
    </x:row>
    <x:row r="6" ht="42" customHeight="1">
      <x:c r="A6" s="50"/>
      <x:c r="B6" s="50"/>
      <x:c r="C6" s="50"/>
      <x:c r="D6" s="62"/>
      <x:c r="E6" s="62"/>
      <x:c r="F6" s="70"/>
      <x:c r="G6" s="70"/>
      <x:c r="H6" s="50"/>
      <x:c r="I6" s="50"/>
      <x:c r="J6" s="50"/>
      <x:c r="K6" s="50"/>
      <x:c r="L6" s="50"/>
    </x:row>
    <x:row r="7" ht="42" customHeight="1">
      <x:c r="A7" s="50"/>
      <x:c r="B7" s="50"/>
      <x:c r="C7" s="50"/>
      <x:c r="D7" s="62"/>
      <x:c r="E7" s="62"/>
      <x:c r="F7" s="70"/>
      <x:c r="G7" s="70"/>
      <x:c r="H7" s="50"/>
      <x:c r="I7" s="50"/>
      <x:c r="J7" s="50"/>
      <x:c r="K7" s="50"/>
      <x:c r="L7" s="50"/>
    </x:row>
    <x:row r="8" ht="42" customHeight="1">
      <x:c r="A8" s="50"/>
      <x:c r="B8" s="50"/>
      <x:c r="C8" s="50"/>
      <x:c r="D8" s="62"/>
      <x:c r="E8" s="62"/>
      <x:c r="F8" s="70"/>
      <x:c r="G8" s="70"/>
      <x:c r="H8" s="50"/>
      <x:c r="I8" s="50"/>
      <x:c r="J8" s="50"/>
      <x:c r="K8" s="50"/>
      <x:c r="L8" s="50"/>
    </x:row>
    <x:row r="9" ht="42" customHeight="1">
      <x:c r="A9" s="50"/>
      <x:c r="B9" s="50"/>
      <x:c r="C9" s="50"/>
      <x:c r="D9" s="62"/>
      <x:c r="E9" s="62"/>
      <x:c r="F9" s="70"/>
      <x:c r="G9" s="70"/>
      <x:c r="H9" s="50"/>
      <x:c r="I9" s="50"/>
      <x:c r="J9" s="50"/>
      <x:c r="K9" s="50"/>
      <x:c r="L9" s="50"/>
    </x:row>
    <x:row r="10" ht="42" customHeight="1">
      <x:c r="A10" s="50"/>
      <x:c r="B10" s="50"/>
      <x:c r="C10" s="50"/>
      <x:c r="D10" s="62"/>
      <x:c r="E10" s="62"/>
      <x:c r="F10" s="70"/>
      <x:c r="G10" s="70"/>
      <x:c r="H10" s="50"/>
      <x:c r="I10" s="50"/>
      <x:c r="J10" s="50"/>
      <x:c r="K10" s="50"/>
      <x:c r="L10" s="50"/>
    </x:row>
    <x:row r="11" ht="42" customHeight="1">
      <x:c r="A11" s="50"/>
      <x:c r="B11" s="50"/>
      <x:c r="C11" s="50"/>
      <x:c r="D11" s="62"/>
      <x:c r="E11" s="62"/>
      <x:c r="F11" s="70"/>
      <x:c r="G11" s="70"/>
      <x:c r="H11" s="50"/>
      <x:c r="I11" s="50"/>
      <x:c r="J11" s="50"/>
      <x:c r="K11" s="50"/>
      <x:c r="L11" s="50"/>
    </x:row>
    <x:row r="12" ht="42" customHeight="1">
      <x:c r="A12" s="50"/>
      <x:c r="B12" s="50"/>
      <x:c r="C12" s="50"/>
      <x:c r="D12" s="62"/>
      <x:c r="E12" s="62"/>
      <x:c r="F12" s="70"/>
      <x:c r="G12" s="70"/>
      <x:c r="H12" s="50"/>
      <x:c r="I12" s="50"/>
      <x:c r="J12" s="50"/>
      <x:c r="K12" s="50"/>
      <x:c r="L12" s="50"/>
    </x:row>
    <x:row r="13" ht="42" customHeight="1">
      <x:c r="A13" s="50"/>
      <x:c r="B13" s="50"/>
      <x:c r="C13" s="50"/>
      <x:c r="D13" s="62"/>
      <x:c r="E13" s="62"/>
      <x:c r="F13" s="70"/>
      <x:c r="G13" s="70"/>
      <x:c r="H13" s="50"/>
      <x:c r="I13" s="50"/>
      <x:c r="J13" s="50"/>
      <x:c r="K13" s="50"/>
      <x:c r="L13" s="50"/>
    </x:row>
    <x:row r="14" ht="42" customHeight="1">
      <x:c r="A14" s="50"/>
      <x:c r="B14" s="50"/>
      <x:c r="C14" s="50"/>
      <x:c r="D14" s="62"/>
      <x:c r="E14" s="62"/>
      <x:c r="F14" s="70"/>
      <x:c r="G14" s="70"/>
      <x:c r="H14" s="50"/>
      <x:c r="I14" s="50"/>
      <x:c r="J14" s="50"/>
      <x:c r="K14" s="50"/>
      <x:c r="L14" s="50"/>
    </x:row>
    <x:row r="16">
      <x:c r="A16" s="115" t="str">
        <x:v>Total coûts</x:v>
      </x:c>
      <x:c r="B16" s="115"/>
      <x:c r="C16" s="115"/>
      <x:c r="D16" s="115"/>
      <x:c r="E16" s="115"/>
      <x:c r="F16" s="115" t="n">
        <x:f>SUM(F5:F14)</x:f>
        <x:v>0</x:v>
      </x:c>
      <x:c r="G16" s="115" t="n">
        <x:f>SUM(G5:G14)</x:f>
        <x:v>0</x:v>
      </x:c>
      <x:c r="H16" s="115"/>
      <x:c r="I16" s="115" t="str">
        <x:v>Plafond pilote</x:v>
      </x:c>
      <x:c r="J16" s="116" t="n">
        <x:v>8000</x:v>
      </x:c>
    </x:row>
    <x:row r="17">
      <x:c r="A17" s="115"/>
      <x:c r="B17" s="115"/>
      <x:c r="C17" s="115"/>
      <x:c r="D17" s="115"/>
      <x:c r="E17" s="115"/>
      <x:c r="F17" s="115"/>
      <x:c r="G17" s="115"/>
      <x:c r="H17" s="115"/>
      <x:c r="I17" s="115" t="str">
        <x:v>Marge restante (réel)</x:v>
      </x:c>
      <x:c r="J17" s="116" t="n">
        <x:f>J16-G16</x:f>
        <x:v>8000</x:v>
      </x:c>
    </x:row>
  </x:sheetData>
  <x:mergeCells>
    <x:mergeCell ref="A1:H1"/>
    <x:mergeCell ref="A1:L1"/>
    <x:mergeCell ref="A2:L2"/>
  </x:mergeCells>
  <x:dataValidations count="2">
    <x:dataValidation type="list" sqref="H4:H11">
      <x:formula1>"À faire,En cours,Bloqué,Terminé"</x:formula1>
    </x:dataValidation>
    <x:dataValidation type="list" sqref="K5:K14">
      <x:formula1>"À faire,En cours,Bloquée,Terminée,À valider"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33a26302ac403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42" hidden="0" customWidth="1"/>
    <x:col min="4" max="4" width="48" hidden="0" customWidth="1"/>
  </x:cols>
  <x:sheetData>
    <x:row r="1">
      <x:c r="A1" s="35" t="str">
        <x:v>R08 — Comment utiliser ce classeur dans le TP</x:v>
      </x:c>
      <x:c r="B1" s="35"/>
      <x:c r="C1" s="35"/>
      <x:c r="D1" s="35"/>
    </x:row>
    <x:row r="2">
      <x:c r="A2" s="20"/>
      <x:c r="B2" s="20"/>
      <x:c r="C2" s="20"/>
      <x:c r="D2" s="20"/>
    </x:row>
    <x:row r="3">
      <x:c r="A3" s="92" t="str">
        <x:v>Onglet</x:v>
      </x:c>
      <x:c r="B3" s="92" t="str">
        <x:v>Situation</x:v>
      </x:c>
      <x:c r="C3" s="92" t="str">
        <x:v>À quoi il sert</x:v>
      </x:c>
      <x:c r="D3" s="92" t="str">
        <x:v>Attention</x:v>
      </x:c>
    </x:row>
    <x:row r="4" ht="46" customHeight="1">
      <x:c r="A4" s="50" t="str">
        <x:v>Fournisseurs_criticite</x:v>
      </x:c>
      <x:c r="B4" s="50" t="str">
        <x:v>Situation 5</x:v>
      </x:c>
      <x:c r="C4" s="50" t="str">
        <x:v>Données sources sur les partenaires pédagogiques.</x:v>
      </x:c>
      <x:c r="D4" s="50" t="str">
        <x:v>Partenaires fictifs : ne rien attribuer aux partenaires réels de 1083.</x:v>
      </x:c>
    </x:row>
    <x:row r="5" ht="46" customHeight="1">
      <x:c r="A5" s="50" t="str">
        <x:v>Analyse_dependances</x:v>
      </x:c>
      <x:c r="B5" s="50" t="str">
        <x:v>Situation 5</x:v>
      </x:c>
      <x:c r="C5" s="50" t="str">
        <x:v>Analyser les dépendances et retenir trois priorités.</x:v>
      </x:c>
      <x:c r="D5" s="50" t="str">
        <x:v>Ne transformez pas automatiquement chaque colonne en points ; justifiez votre méthode.</x:v>
      </x:c>
    </x:row>
    <x:row r="6" ht="46" customHeight="1">
      <x:c r="A6" s="50" t="str">
        <x:v>Veille_S5</x:v>
      </x:c>
      <x:c r="B6" s="50" t="str">
        <x:v>Situation 5</x:v>
      </x:c>
      <x:c r="C6" s="50" t="str">
        <x:v>Tracer l’actualisation de REP, coût environnemental et OFG.</x:v>
      </x:c>
      <x:c r="D6" s="50" t="str">
        <x:v>« Aucune évolution identifiée » est un résultat valable si la vérification est datée et prouvée.</x:v>
      </x:c>
    </x:row>
    <x:row r="7" ht="46" customHeight="1">
      <x:c r="A7" s="50" t="str">
        <x:v>Projet_initial</x:v>
      </x:c>
      <x:c r="B7" s="50" t="str">
        <x:v>Situation 5</x:v>
      </x:c>
      <x:c r="C7" s="50" t="str">
        <x:v>Cadrer et planifier le mini-projet avant le diagnostic qualité détaillé.</x:v>
      </x:c>
      <x:c r="D7" s="50" t="str">
        <x:v>Les actions qualité précises viennent après le diagnostic de la situation 6.</x:v>
      </x:c>
    </x:row>
    <x:row r="8" ht="46" customHeight="1">
      <x:c r="A8" s="50" t="str">
        <x:v>Retours_clients</x:v>
      </x:c>
      <x:c r="B8" s="50" t="str">
        <x:v>Situation 6</x:v>
      </x:c>
      <x:c r="C8" s="50" t="str">
        <x:v>Mesurer les dysfonctionnements et construire le premier Pareto.</x:v>
      </x:c>
      <x:c r="D8" s="50" t="str">
        <x:v>Nombre brut ≠ taux ; Pareto ≠ preuve de cause.</x:v>
      </x:c>
    </x:row>
    <x:row r="9" ht="46" customHeight="1">
      <x:c r="A9" s="50" t="str">
        <x:v>Volumes_exposition</x:v>
      </x:c>
      <x:c r="B9" s="50" t="str">
        <x:v>Situation 6</x:v>
      </x:c>
      <x:c r="C9" s="50" t="str">
        <x:v>Fournir les dénominateurs nécessaires aux taux.</x:v>
      </x:c>
      <x:c r="D9" s="50" t="str">
        <x:v>Les trois tableaux décrivent les mêmes unités sous trois angles : ne pas les additionner.</x:v>
      </x:c>
    </x:row>
    <x:row r="10" ht="46" customHeight="1">
      <x:c r="A10" s="50" t="str">
        <x:v>Diagnostic_complementaire</x:v>
      </x:c>
      <x:c r="B10" s="50" t="str">
        <x:v>Situation 6</x:v>
      </x:c>
      <x:c r="C10" s="50" t="str">
        <x:v>Tester les hypothèses par des preuves complémentaires.</x:v>
      </x:c>
      <x:c r="D10" s="50" t="str">
        <x:v>Une convergence d’indices doit conduire à une conclusion proportionnée, pas à une certitude artificielle.</x:v>
      </x:c>
    </x:row>
    <x:row r="11" ht="46" customHeight="1">
      <x:c r="A11" s="50" t="str">
        <x:v>Projet_actions</x:v>
      </x:c>
      <x:c r="B11" s="50" t="str">
        <x:v>Situation 6</x:v>
      </x:c>
      <x:c r="C11" s="50" t="str">
        <x:v>Transformer le diagnostic en actions testables et suivre le budget.</x:v>
      </x:c>
      <x:c r="D11" s="50" t="str">
        <x:v>Ne pas préremplir les solutions avant le diagnostic.</x:v>
      </x:c>
    </x:row>
    <x:row r="12" ht="46" customHeight="1">
      <x:c r="A12" s="50" t="str">
        <x:v>Suivi_pilote</x:v>
      </x:c>
      <x:c r="B12" s="50" t="str">
        <x:v>Situation 6</x:v>
      </x:c>
      <x:c r="C12" s="50" t="str">
        <x:v>Mesurer les résultats du pilote pendant quatre semaines.</x:v>
      </x:c>
      <x:c r="D12" s="50" t="str">
        <x:v>Les retours clients peuvent arriver avec retard : prolonger le suivi si nécessaire.</x:v>
      </x:c>
    </x:row>
    <x:row r="13" ht="46" customHeight="1">
      <x:c r="A13" s="50" t="str">
        <x:v>Capitalisation_REX</x:v>
      </x:c>
      <x:c r="B13" s="50" t="str">
        <x:v>Situation 6</x:v>
      </x:c>
      <x:c r="C13" s="50" t="str">
        <x:v>Conserver les faits, décisions, preuves et limites pour réutilisation future.</x:v>
      </x:c>
      <x:c r="D13" s="50" t="str">
        <x:v>Ce qui n’est pas démontré doit rester « à confirmer ».</x:v>
      </x:c>
    </x:row>
    <x:row r="14" ht="46" customHeight="1">
      <x:c r="A14" s="50" t="str">
        <x:v>Principe</x:v>
      </x:c>
      <x:c r="B14" s="50" t="str">
        <x:v>Toutes</x:v>
      </x:c>
      <x:c r="C14" s="50" t="str">
        <x:v>Contrôler les données avant d’interpréter.</x:v>
      </x:c>
      <x:c r="D14" s="50" t="str">
        <x:v>Signalez les informations manquantes ; n’inventez pas.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34" hidden="0" customWidth="1"/>
    <x:col min="9" max="9" width="20" hidden="0" customWidth="1"/>
    <x:col min="10" max="10" width="34" hidden="0" customWidth="1"/>
    <x:col min="11" max="11" width="30" hidden="0" customWidth="1"/>
    <x:col min="12" max="12" width="14" hidden="0" customWidth="1"/>
  </x:cols>
  <x:sheetData>
    <x:row r="1" ht="32" customHeight="1">
      <x:c r="A1" s="44" t="str">
        <x:v>SITUATION 5 — ANALYSE DES DÉPENDANCES FOURNISSEURS. Les données des partenaires A à J sont fictives.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</x:row>
    <x:row r="2" ht="54" customHeight="1">
      <x:c r="A2" s="40" t="str">
        <x:v>Évaluez plusieurs dimensions avant de conclure. Une priorité peut être forte même sans incident récent si l’alternative est absente, lente ou insuffisamment qualifiée. Si une information manque pour conclure, utilisez « NE » et précisez ce qu’il faut vérifier.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</x:row>
    <x:row r="4" ht="42" customHeight="1">
      <x:c r="A4" s="49" t="str">
        <x:v>Partenaire</x:v>
      </x:c>
      <x:c r="B4" s="49" t="str">
        <x:v>Étape</x:v>
      </x:c>
      <x:c r="C4" s="49" t="str">
        <x:v>Part des volumes</x:v>
      </x:c>
      <x:c r="D4" s="49" t="str">
        <x:v>Alternative qualifiée ?</x:v>
      </x:c>
      <x:c r="E4" s="49" t="str">
        <x:v>Délai de substitution</x:v>
      </x:c>
      <x:c r="F4" s="49" t="str">
        <x:v>Dépendance technique</x:v>
      </x:c>
      <x:c r="G4" s="49" t="str">
        <x:v>Incidents / signaux</x:v>
      </x:c>
      <x:c r="H4" s="49" t="str">
        <x:v>Conséquence plausible sur la continuité</x:v>
      </x:c>
      <x:c r="I4" s="49" t="str">
        <x:v>Niveau de dépendance retenu</x:v>
      </x:c>
      <x:c r="J4" s="49" t="str">
        <x:v>Justification</x:v>
      </x:c>
      <x:c r="K4" s="49" t="str">
        <x:v>Information à confirmer</x:v>
      </x:c>
      <x:c r="L4" s="49" t="str">
        <x:v>Priorité ?</x:v>
      </x:c>
    </x:row>
    <x:row r="5" ht="54" customHeight="1">
      <x:c r="A5" s="50" t="str">
        <x:f>Fournisseurs_criticite!A4</x:f>
        <x:v>Partenaire A</x:v>
      </x:c>
      <x:c r="B5" s="50" t="str">
        <x:f>Fournisseurs_criticite!B4</x:f>
        <x:v>Filature coton</x:v>
      </x:c>
      <x:c r="C5" s="50" t="str">
        <x:f>Fournisseurs_criticite!C4</x:f>
        <x:v>42 %</x:v>
      </x:c>
      <x:c r="D5" s="50" t="str">
        <x:f>Fournisseurs_criticite!E4</x:f>
        <x:v>Oui</x:v>
      </x:c>
      <x:c r="E5" s="50" t="str">
        <x:f>Fournisseurs_criticite!F4</x:f>
        <x:v>6 sem.</x:v>
      </x:c>
      <x:c r="F5" s="50" t="str">
        <x:f>Fournisseurs_criticite!G4</x:f>
        <x:v>Moyenne</x:v>
      </x:c>
      <x:c r="G5" s="50" t="str">
        <x:f>Fournisseurs_criticite!I4</x:f>
        <x:v>1 retard de 5 jours</x:v>
      </x:c>
      <x:c r="H5" s="50"/>
      <x:c r="I5" s="50"/>
      <x:c r="J5" s="50"/>
      <x:c r="K5" s="50"/>
      <x:c r="L5" s="50"/>
    </x:row>
    <x:row r="6" ht="54" customHeight="1">
      <x:c r="A6" s="50" t="str">
        <x:f>Fournisseurs_criticite!A5</x:f>
        <x:v>Partenaire B</x:v>
      </x:c>
      <x:c r="B6" s="50" t="str">
        <x:f>Fournisseurs_criticite!B5</x:f>
        <x:v>Filature recyclée</x:v>
      </x:c>
      <x:c r="C6" s="50" t="str">
        <x:f>Fournisseurs_criticite!C5</x:f>
        <x:v>31 %</x:v>
      </x:c>
      <x:c r="D6" s="50" t="str">
        <x:f>Fournisseurs_criticite!E5</x:f>
        <x:v>Non</x:v>
      </x:c>
      <x:c r="E6" s="50" t="str">
        <x:f>Fournisseurs_criticite!F5</x:f>
        <x:v>12 sem.</x:v>
      </x:c>
      <x:c r="F6" s="50" t="str">
        <x:f>Fournisseurs_criticite!G5</x:f>
        <x:v>Élevée</x:v>
      </x:c>
      <x:c r="G6" s="50" t="str">
        <x:f>Fournisseurs_criticite!I5</x:f>
        <x:v>Aucun</x:v>
      </x:c>
      <x:c r="H6" s="50"/>
      <x:c r="I6" s="50"/>
      <x:c r="J6" s="50"/>
      <x:c r="K6" s="50"/>
      <x:c r="L6" s="50"/>
    </x:row>
    <x:row r="7" ht="54" customHeight="1">
      <x:c r="A7" s="50" t="str">
        <x:f>Fournisseurs_criticite!A6</x:f>
        <x:v>Partenaire C</x:v>
      </x:c>
      <x:c r="B7" s="50" t="str">
        <x:f>Fournisseurs_criticite!B6</x:f>
        <x:v>Teinture</x:v>
      </x:c>
      <x:c r="C7" s="50" t="str">
        <x:f>Fournisseurs_criticite!C6</x:f>
        <x:v>55 %</x:v>
      </x:c>
      <x:c r="D7" s="50" t="str">
        <x:f>Fournisseurs_criticite!E6</x:f>
        <x:v>Oui</x:v>
      </x:c>
      <x:c r="E7" s="50" t="str">
        <x:f>Fournisseurs_criticite!F6</x:f>
        <x:v>8 sem.</x:v>
      </x:c>
      <x:c r="F7" s="50" t="str">
        <x:f>Fournisseurs_criticite!G6</x:f>
        <x:v>Élevée</x:v>
      </x:c>
      <x:c r="G7" s="50" t="str">
        <x:f>Fournisseurs_criticite!I6</x:f>
        <x:v>1 panne de 3 jours</x:v>
      </x:c>
      <x:c r="H7" s="50"/>
      <x:c r="I7" s="50"/>
      <x:c r="J7" s="50"/>
      <x:c r="K7" s="50"/>
      <x:c r="L7" s="50"/>
    </x:row>
    <x:row r="8" ht="54" customHeight="1">
      <x:c r="A8" s="50" t="str">
        <x:f>Fournisseurs_criticite!A7</x:f>
        <x:v>Partenaire D</x:v>
      </x:c>
      <x:c r="B8" s="50" t="str">
        <x:f>Fournisseurs_criticite!B7</x:f>
        <x:v>Tissage</x:v>
      </x:c>
      <x:c r="C8" s="50" t="str">
        <x:f>Fournisseurs_criticite!C7</x:f>
        <x:v>46 %</x:v>
      </x:c>
      <x:c r="D8" s="50" t="str">
        <x:f>Fournisseurs_criticite!E7</x:f>
        <x:v>Oui</x:v>
      </x:c>
      <x:c r="E8" s="50" t="str">
        <x:f>Fournisseurs_criticite!F7</x:f>
        <x:v>5 sem.</x:v>
      </x:c>
      <x:c r="F8" s="50" t="str">
        <x:f>Fournisseurs_criticite!G7</x:f>
        <x:v>Moyenne</x:v>
      </x:c>
      <x:c r="G8" s="50" t="str">
        <x:f>Fournisseurs_criticite!I7</x:f>
        <x:v>2 retards</x:v>
      </x:c>
      <x:c r="H8" s="50"/>
      <x:c r="I8" s="50"/>
      <x:c r="J8" s="50"/>
      <x:c r="K8" s="50"/>
      <x:c r="L8" s="50"/>
    </x:row>
    <x:row r="9" ht="54" customHeight="1">
      <x:c r="A9" s="50" t="str">
        <x:f>Fournisseurs_criticite!A8</x:f>
        <x:v>Partenaire E</x:v>
      </x:c>
      <x:c r="B9" s="50" t="str">
        <x:f>Fournisseurs_criticite!B8</x:f>
        <x:v>Coupe</x:v>
      </x:c>
      <x:c r="C9" s="50" t="str">
        <x:f>Fournisseurs_criticite!C8</x:f>
        <x:v>38 %</x:v>
      </x:c>
      <x:c r="D9" s="50" t="str">
        <x:f>Fournisseurs_criticite!E8</x:f>
        <x:v>Non</x:v>
      </x:c>
      <x:c r="E9" s="50" t="str">
        <x:f>Fournisseurs_criticite!F8</x:f>
        <x:v>10 sem.</x:v>
      </x:c>
      <x:c r="F9" s="50" t="str">
        <x:f>Fournisseurs_criticite!G8</x:f>
        <x:v>Très élevée</x:v>
      </x:c>
      <x:c r="G9" s="50" t="str">
        <x:f>Fournisseurs_criticite!I8</x:f>
        <x:v>Arrêt machine 2 jours</x:v>
      </x:c>
      <x:c r="H9" s="50"/>
      <x:c r="I9" s="50"/>
      <x:c r="J9" s="50"/>
      <x:c r="K9" s="50"/>
      <x:c r="L9" s="50"/>
    </x:row>
    <x:row r="10" ht="54" customHeight="1">
      <x:c r="A10" s="50" t="str">
        <x:f>Fournisseurs_criticite!A9</x:f>
        <x:v>Partenaire F</x:v>
      </x:c>
      <x:c r="B10" s="50" t="str">
        <x:f>Fournisseurs_criticite!B9</x:f>
        <x:v>Confection</x:v>
      </x:c>
      <x:c r="C10" s="50" t="str">
        <x:f>Fournisseurs_criticite!C9</x:f>
        <x:v>34 %</x:v>
      </x:c>
      <x:c r="D10" s="50" t="str">
        <x:f>Fournisseurs_criticite!E9</x:f>
        <x:v>Oui</x:v>
      </x:c>
      <x:c r="E10" s="50" t="str">
        <x:f>Fournisseurs_criticite!F9</x:f>
        <x:v>4 sem.</x:v>
      </x:c>
      <x:c r="F10" s="50" t="str">
        <x:f>Fournisseurs_criticite!G9</x:f>
        <x:v>Moyenne</x:v>
      </x:c>
      <x:c r="G10" s="50" t="str">
        <x:f>Fournisseurs_criticite!I9</x:f>
        <x:v>Hausse retouches</x:v>
      </x:c>
      <x:c r="H10" s="50"/>
      <x:c r="I10" s="50"/>
      <x:c r="J10" s="50"/>
      <x:c r="K10" s="50"/>
      <x:c r="L10" s="50"/>
    </x:row>
    <x:row r="11" ht="54" customHeight="1">
      <x:c r="A11" s="50" t="str">
        <x:f>Fournisseurs_criticite!A10</x:f>
        <x:v>Partenaire G</x:v>
      </x:c>
      <x:c r="B11" s="50" t="str">
        <x:f>Fournisseurs_criticite!B10</x:f>
        <x:v>Confection</x:v>
      </x:c>
      <x:c r="C11" s="50" t="str">
        <x:f>Fournisseurs_criticite!C10</x:f>
        <x:v>22 %</x:v>
      </x:c>
      <x:c r="D11" s="50" t="str">
        <x:f>Fournisseurs_criticite!E10</x:f>
        <x:v>Oui</x:v>
      </x:c>
      <x:c r="E11" s="50" t="str">
        <x:f>Fournisseurs_criticite!F10</x:f>
        <x:v>5 sem.</x:v>
      </x:c>
      <x:c r="F11" s="50" t="str">
        <x:f>Fournisseurs_criticite!G10</x:f>
        <x:v>Faible</x:v>
      </x:c>
      <x:c r="G11" s="50" t="str">
        <x:f>Fournisseurs_criticite!I10</x:f>
        <x:v>Aucun</x:v>
      </x:c>
      <x:c r="H11" s="50"/>
      <x:c r="I11" s="50"/>
      <x:c r="J11" s="50"/>
      <x:c r="K11" s="50"/>
      <x:c r="L11" s="50"/>
    </x:row>
    <x:row r="12" ht="54" customHeight="1">
      <x:c r="A12" s="50" t="str">
        <x:f>Fournisseurs_criticite!A11</x:f>
        <x:v>Partenaire H</x:v>
      </x:c>
      <x:c r="B12" s="50" t="str">
        <x:f>Fournisseurs_criticite!B11</x:f>
        <x:v>Accessoires métalliques</x:v>
      </x:c>
      <x:c r="C12" s="50" t="str">
        <x:f>Fournisseurs_criticite!C11</x:f>
        <x:v>62 %</x:v>
      </x:c>
      <x:c r="D12" s="50" t="str">
        <x:f>Fournisseurs_criticite!E11</x:f>
        <x:v>Non</x:v>
      </x:c>
      <x:c r="E12" s="50" t="str">
        <x:f>Fournisseurs_criticite!F11</x:f>
        <x:v>14 sem.</x:v>
      </x:c>
      <x:c r="F12" s="50" t="str">
        <x:f>Fournisseurs_criticite!G11</x:f>
        <x:v>Élevée</x:v>
      </x:c>
      <x:c r="G12" s="50" t="str">
        <x:f>Fournisseurs_criticite!I11</x:f>
        <x:v>Retard transport</x:v>
      </x:c>
      <x:c r="H12" s="50"/>
      <x:c r="I12" s="50"/>
      <x:c r="J12" s="50"/>
      <x:c r="K12" s="50"/>
      <x:c r="L12" s="50"/>
    </x:row>
    <x:row r="13" ht="54" customHeight="1">
      <x:c r="A13" s="50" t="str">
        <x:f>Fournisseurs_criticite!A12</x:f>
        <x:v>Partenaire I</x:v>
      </x:c>
      <x:c r="B13" s="50" t="str">
        <x:f>Fournisseurs_criticite!B12</x:f>
        <x:v>Cartons d'expédition</x:v>
      </x:c>
      <x:c r="C13" s="50" t="str">
        <x:f>Fournisseurs_criticite!C12</x:f>
        <x:v>70 %</x:v>
      </x:c>
      <x:c r="D13" s="50" t="str">
        <x:f>Fournisseurs_criticite!E12</x:f>
        <x:v>Oui</x:v>
      </x:c>
      <x:c r="E13" s="50" t="str">
        <x:f>Fournisseurs_criticite!F12</x:f>
        <x:v>2 sem.</x:v>
      </x:c>
      <x:c r="F13" s="50" t="str">
        <x:f>Fournisseurs_criticite!G12</x:f>
        <x:v>Faible</x:v>
      </x:c>
      <x:c r="G13" s="50" t="str">
        <x:f>Fournisseurs_criticite!I12</x:f>
        <x:v>Aucun</x:v>
      </x:c>
      <x:c r="H13" s="50"/>
      <x:c r="I13" s="50"/>
      <x:c r="J13" s="50"/>
      <x:c r="K13" s="50"/>
      <x:c r="L13" s="50"/>
    </x:row>
    <x:row r="14" ht="54" customHeight="1">
      <x:c r="A14" s="50" t="str">
        <x:f>Fournisseurs_criticite!A13</x:f>
        <x:v>Partenaire J</x:v>
      </x:c>
      <x:c r="B14" s="50" t="str">
        <x:f>Fournisseurs_criticite!B13</x:f>
        <x:v>Transport B2B</x:v>
      </x:c>
      <x:c r="C14" s="50" t="str">
        <x:f>Fournisseurs_criticite!C13</x:f>
        <x:v>51 %</x:v>
      </x:c>
      <x:c r="D14" s="50" t="str">
        <x:f>Fournisseurs_criticite!E13</x:f>
        <x:v>Oui</x:v>
      </x:c>
      <x:c r="E14" s="50" t="str">
        <x:f>Fournisseurs_criticite!F13</x:f>
        <x:v>1 sem.</x:v>
      </x:c>
      <x:c r="F14" s="50" t="str">
        <x:f>Fournisseurs_criticite!G13</x:f>
        <x:v>Faible</x:v>
      </x:c>
      <x:c r="G14" s="50" t="str">
        <x:f>Fournisseurs_criticite!I13</x:f>
        <x:v>2 incidents livraison</x:v>
      </x:c>
      <x:c r="H14" s="50"/>
      <x:c r="I14" s="50"/>
      <x:c r="J14" s="50"/>
      <x:c r="K14" s="50"/>
      <x:c r="L14" s="50"/>
    </x:row>
  </x:sheetData>
  <x:mergeCells>
    <x:mergeCell ref="A1:L1"/>
    <x:mergeCell ref="A2:L2"/>
  </x:mergeCells>
  <x:dataValidations count="2">
    <x:dataValidation type="list" sqref="I5:I14">
      <x:formula1>"Faible,Modérée,Forte,Critique,NE"</x:formula1>
    </x:dataValidation>
    <x:dataValidation type="list" sqref="L5:L14">
      <x:formula1>"Oui,Non,À confirmer"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34" hidden="0" customWidth="1"/>
    <x:col min="4" max="4" width="18" hidden="0" customWidth="1"/>
    <x:col min="5" max="5" width="34" hidden="0" customWidth="1"/>
    <x:col min="6" max="6" width="18" hidden="0" customWidth="1"/>
    <x:col min="7" max="7" width="34" hidden="0" customWidth="1"/>
    <x:col min="8" max="8" width="30" hidden="0" customWidth="1"/>
    <x:col min="9" max="9" width="24" hidden="0" customWidth="1"/>
    <x:col min="10" max="10" width="20" hidden="0" customWidth="1"/>
  </x:cols>
  <x:sheetData>
    <x:row r="1" ht="32" customHeight="1">
      <x:c r="A1" s="44" t="str">
        <x:v>SITUATION 5 — MISE À JOUR DE VEILLE. Vérifiez les sources officielles indiquées dans R09 et datez chaque consultation.</x:v>
      </x:c>
      <x:c r="B1" s="44"/>
      <x:c r="C1" s="44"/>
      <x:c r="D1" s="44"/>
      <x:c r="E1" s="44"/>
      <x:c r="F1" s="44"/>
      <x:c r="G1" s="44"/>
      <x:c r="H1" s="44"/>
      <x:c r="I1" s="44"/>
      <x:c r="J1" s="44"/>
    </x:row>
    <x:row r="2" ht="42" customHeight="1">
      <x:c r="A2" s="54" t="str">
        <x:v>Une veille peut conclure à « aucune évolution identifiée » : l’essentiel est d’avoir vérifié la source, conservé une preuve et déterminé si une décision ou une alerte est nécessaire.</x:v>
      </x:c>
      <x:c r="B2" s="54"/>
      <x:c r="C2" s="54"/>
      <x:c r="D2" s="54"/>
      <x:c r="E2" s="54"/>
      <x:c r="F2" s="54"/>
      <x:c r="G2" s="54"/>
      <x:c r="H2" s="54"/>
      <x:c r="I2" s="54"/>
      <x:c r="J2" s="54"/>
    </x:row>
    <x:row r="4" ht="44" customHeight="1">
      <x:c r="A4" s="49" t="str">
        <x:v>Sujet</x:v>
      </x:c>
      <x:c r="B4" s="49" t="str">
        <x:v>Point de départ R09</x:v>
      </x:c>
      <x:c r="C4" s="49" t="str">
        <x:v>Source actuelle consultée</x:v>
      </x:c>
      <x:c r="D4" s="49" t="str">
        <x:v>Date de consultation</x:v>
      </x:c>
      <x:c r="E4" s="49" t="str">
        <x:v>Statut / règle actuelle</x:v>
      </x:c>
      <x:c r="F4" s="49" t="str">
        <x:v>Évolution identifiée ?</x:v>
      </x:c>
      <x:c r="G4" s="49" t="str">
        <x:v>Conséquence pour la PME</x:v>
      </x:c>
      <x:c r="H4" s="49" t="str">
        <x:v>Preuve à conserver</x:v>
      </x:c>
      <x:c r="I4" s="49" t="str">
        <x:v>Personne à alerter</x:v>
      </x:c>
      <x:c r="J4" s="49" t="str">
        <x:v>Prochaine vérification</x:v>
      </x:c>
    </x:row>
    <x:row r="5" ht="64" customHeight="1">
      <x:c r="A5" s="50" t="str">
        <x:v>REP textiles / TLC</x:v>
      </x:c>
      <x:c r="B5" s="50" t="str">
        <x:v>Voir R09 — point de départ vérifié le 20/09/2026</x:v>
      </x:c>
      <x:c r="C5" s="50"/>
      <x:c r="D5" s="50"/>
      <x:c r="E5" s="50"/>
      <x:c r="F5" s="50"/>
      <x:c r="G5" s="50"/>
      <x:c r="H5" s="50"/>
      <x:c r="I5" s="50"/>
      <x:c r="J5" s="50"/>
    </x:row>
    <x:row r="6" ht="64" customHeight="1">
      <x:c r="A6" s="50" t="str">
        <x:v>Affichage du coût environnemental des vêtements</x:v>
      </x:c>
      <x:c r="B6" s="50" t="str">
        <x:v>Voir R09 — point de départ vérifié le 20/09/2026</x:v>
      </x:c>
      <x:c r="C6" s="50"/>
      <x:c r="D6" s="50"/>
      <x:c r="E6" s="50"/>
      <x:c r="F6" s="50"/>
      <x:c r="G6" s="50"/>
      <x:c r="H6" s="50"/>
      <x:c r="I6" s="50"/>
      <x:c r="J6" s="50"/>
    </x:row>
    <x:row r="7" ht="64" customHeight="1">
      <x:c r="A7" s="50" t="str">
        <x:v>Origine France Garantie (OFG)</x:v>
      </x:c>
      <x:c r="B7" s="50" t="str">
        <x:v>Voir R09 — point de départ vérifié le 20/09/2026</x:v>
      </x:c>
      <x:c r="C7" s="50"/>
      <x:c r="D7" s="50"/>
      <x:c r="E7" s="50"/>
      <x:c r="F7" s="50"/>
      <x:c r="G7" s="50"/>
      <x:c r="H7" s="50"/>
      <x:c r="I7" s="50"/>
      <x:c r="J7" s="50"/>
    </x:row>
  </x:sheetData>
  <x:mergeCells>
    <x:mergeCell ref="A1:J1"/>
    <x:mergeCell ref="A2:J2"/>
  </x:mergeCells>
  <x:dataValidations count="1">
    <x:dataValidation type="list" sqref="F5:F7">
      <x:formula1>"Oui,Non,À confirmer"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  <x:col min="3" max="3" width="18" hidden="0" customWidth="1"/>
    <x:col min="4" max="4" width="13" hidden="0" customWidth="1"/>
    <x:col min="5" max="5" width="16" hidden="0" customWidth="1"/>
    <x:col min="6" max="6" width="15" hidden="0" customWidth="1"/>
    <x:col min="7" max="7" width="15" hidden="0" customWidth="1"/>
    <x:col min="8" max="8" width="22" hidden="0" customWidth="1"/>
    <x:col min="9" max="9" width="24" hidden="0" customWidth="1"/>
    <x:col min="10" max="10" width="16" hidden="0" customWidth="1"/>
    <x:col min="11" max="11" width="14" hidden="0" customWidth="1"/>
    <x:col min="12" max="12" width="28" hidden="0" customWidth="1"/>
    <x:col min="13" max="13" width="24" hidden="0" customWidth="1"/>
  </x:cols>
  <x:sheetData>
    <x:row r="1" ht="32" customHeight="1">
      <x:c r="A1" s="44" t="str">
        <x:v>SITUATION 5 — CADRAGE ET PLANNING INITIAL DU MINI-PROJET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</x:row>
    <x:row r="2" ht="54" customHeight="1">
      <x:c r="A2" s="40" t="str">
        <x:v>Planifiez ce qui est justifiable avec les informations disponibles. Pour le volet qualité, le diagnostic détaillé sera réalisé en situation 6 : prévoyez un lot de diagnostic et un jalon de décision, sans inventer dès maintenant des causes ou des actions correctrices.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</x:row>
    <x:row r="4" ht="36" customHeight="1">
      <x:c r="A4" s="58" t="str">
        <x:v>Besoin / problème à traiter</x:v>
      </x:c>
      <x:c r="B4" s="61"/>
      <x:c r="C4" s="61"/>
      <x:c r="D4" s="61"/>
      <x:c r="E4" s="61"/>
      <x:c r="F4" s="61"/>
      <x:c r="G4" s="61"/>
      <x:c r="H4" s="61"/>
      <x:c r="I4" s="61"/>
      <x:c r="J4" s="61"/>
      <x:c r="K4" s="61"/>
    </x:row>
    <x:row r="5" ht="36" customHeight="1">
      <x:c r="A5" s="58" t="str">
        <x:v>Objectif SMART</x:v>
      </x:c>
      <x:c r="B5" s="61"/>
      <x:c r="C5" s="61"/>
      <x:c r="D5" s="61"/>
      <x:c r="E5" s="61"/>
      <x:c r="F5" s="61"/>
      <x:c r="G5" s="61"/>
      <x:c r="H5" s="61"/>
      <x:c r="I5" s="61"/>
      <x:c r="J5" s="61"/>
      <x:c r="K5" s="61"/>
    </x:row>
    <x:row r="6" ht="36" customHeight="1">
      <x:c r="A6" s="58" t="str">
        <x:v>Périmètre inclus</x:v>
      </x:c>
      <x:c r="B6" s="61"/>
      <x:c r="C6" s="61"/>
      <x:c r="D6" s="61"/>
      <x:c r="E6" s="61"/>
      <x:c r="F6" s="61"/>
      <x:c r="G6" s="61"/>
      <x:c r="H6" s="61"/>
      <x:c r="I6" s="61"/>
      <x:c r="J6" s="61"/>
      <x:c r="K6" s="61"/>
    </x:row>
    <x:row r="7" ht="36" customHeight="1">
      <x:c r="A7" s="58" t="str">
        <x:v>Périmètre exclu / différé</x:v>
      </x:c>
      <x:c r="B7" s="61"/>
      <x:c r="C7" s="61"/>
      <x:c r="D7" s="61"/>
      <x:c r="E7" s="61"/>
      <x:c r="F7" s="61"/>
      <x:c r="G7" s="61"/>
      <x:c r="H7" s="61"/>
      <x:c r="I7" s="61"/>
      <x:c r="J7" s="61"/>
      <x:c r="K7" s="61"/>
    </x:row>
    <x:row r="8" ht="36" customHeight="1">
      <x:c r="A8" s="58" t="str">
        <x:v>Commanditaire</x:v>
      </x:c>
      <x:c r="B8" s="61"/>
      <x:c r="C8" s="61"/>
      <x:c r="D8" s="61"/>
      <x:c r="E8" s="61"/>
      <x:c r="F8" s="61"/>
      <x:c r="G8" s="61"/>
      <x:c r="H8" s="61"/>
      <x:c r="I8" s="61"/>
      <x:c r="J8" s="61"/>
      <x:c r="K8" s="61"/>
    </x:row>
    <x:row r="9" ht="36" customHeight="1">
      <x:c r="A9" s="58" t="str">
        <x:v>Acteurs à mobiliser</x:v>
      </x:c>
      <x:c r="B9" s="61"/>
      <x:c r="C9" s="61"/>
      <x:c r="D9" s="61"/>
      <x:c r="E9" s="61"/>
      <x:c r="F9" s="61"/>
      <x:c r="G9" s="61"/>
      <x:c r="H9" s="61"/>
      <x:c r="I9" s="61"/>
      <x:c r="J9" s="61"/>
      <x:c r="K9" s="61"/>
    </x:row>
    <x:row r="10" ht="36" customHeight="1">
      <x:c r="A10" s="58" t="str">
        <x:v>Contraintes principales</x:v>
      </x:c>
      <x:c r="B10" s="61"/>
      <x:c r="C10" s="61"/>
      <x:c r="D10" s="61"/>
      <x:c r="E10" s="61"/>
      <x:c r="F10" s="61"/>
      <x:c r="G10" s="61"/>
      <x:c r="H10" s="61"/>
      <x:c r="I10" s="61"/>
      <x:c r="J10" s="61"/>
      <x:c r="K10" s="61"/>
    </x:row>
    <x:row r="11" ht="36" customHeight="1">
      <x:c r="A11" s="58" t="str">
        <x:v>Livrables attendus</x:v>
      </x:c>
      <x:c r="B11" s="61"/>
      <x:c r="C11" s="61"/>
      <x:c r="D11" s="61"/>
      <x:c r="E11" s="61"/>
      <x:c r="F11" s="61"/>
      <x:c r="G11" s="61"/>
      <x:c r="H11" s="61"/>
      <x:c r="I11" s="61"/>
      <x:c r="J11" s="61"/>
      <x:c r="K11" s="61"/>
    </x:row>
    <x:row r="12" ht="36" customHeight="1">
      <x:c r="A12" s="58" t="str">
        <x:v>Critères de réussite</x:v>
      </x:c>
      <x:c r="B12" s="61"/>
      <x:c r="C12" s="61"/>
      <x:c r="D12" s="61"/>
      <x:c r="E12" s="61"/>
      <x:c r="F12" s="61"/>
      <x:c r="G12" s="61"/>
      <x:c r="H12" s="61"/>
      <x:c r="I12" s="61"/>
      <x:c r="J12" s="61"/>
      <x:c r="K12" s="61"/>
    </x:row>
    <x:row r="13" ht="36" customHeight="1">
      <x:c r="A13" s="58" t="str">
        <x:v>Principaux risques du projet</x:v>
      </x:c>
      <x:c r="B13" s="61"/>
      <x:c r="C13" s="61"/>
      <x:c r="D13" s="61"/>
      <x:c r="E13" s="61"/>
      <x:c r="F13" s="61"/>
      <x:c r="G13" s="61"/>
      <x:c r="H13" s="61"/>
      <x:c r="I13" s="61"/>
      <x:c r="J13" s="61"/>
      <x:c r="K13" s="61"/>
    </x:row>
    <x:row r="14" ht="36" customHeight="1">
      <x:c r="A14" s="58" t="str">
        <x:v>Réunion de lancement — objectif / participants</x:v>
      </x:c>
      <x:c r="B14" s="61"/>
      <x:c r="C14" s="61"/>
      <x:c r="D14" s="61"/>
      <x:c r="E14" s="61"/>
      <x:c r="F14" s="61"/>
      <x:c r="G14" s="61"/>
      <x:c r="H14" s="61"/>
      <x:c r="I14" s="61"/>
      <x:c r="J14" s="61"/>
      <x:c r="K14" s="61"/>
    </x:row>
    <x:row r="17" ht="44" customHeight="1">
      <x:c r="A17" s="79" t="str">
        <x:v>Lot / tâche</x:v>
      </x:c>
      <x:c r="B17" s="79" t="str">
        <x:v>Livrable / résultat</x:v>
      </x:c>
      <x:c r="C17" s="79" t="str">
        <x:v>Responsable</x:v>
      </x:c>
      <x:c r="D17" s="79" t="str">
        <x:v>Durée (jours)</x:v>
      </x:c>
      <x:c r="E17" s="79" t="str">
        <x:v>Prédécesseur</x:v>
      </x:c>
      <x:c r="F17" s="79" t="str">
        <x:v>Début prévu</x:v>
      </x:c>
      <x:c r="G17" s="79" t="str">
        <x:v>Fin prévue</x:v>
      </x:c>
      <x:c r="H17" s="79" t="str">
        <x:v>Jalon / validation</x:v>
      </x:c>
      <x:c r="I17" s="79" t="str">
        <x:v>Indicateur / preuve</x:v>
      </x:c>
      <x:c r="J17" s="79" t="str">
        <x:v>Coût estimé (€)</x:v>
      </x:c>
      <x:c r="K17" s="79" t="str">
        <x:v>Statut</x:v>
      </x:c>
      <x:c r="L17" s="79" t="str">
        <x:v>Risque projet / point de vigilance</x:v>
      </x:c>
      <x:c r="M17" s="79" t="str">
        <x:v>Décision / arbitrage</x:v>
      </x:c>
    </x:row>
    <x:row r="18" ht="44" customHeight="1">
      <x:c r="A18" s="50"/>
      <x:c r="B18" s="50"/>
      <x:c r="C18" s="50"/>
      <x:c r="D18" s="50"/>
      <x:c r="E18" s="50"/>
      <x:c r="F18" s="62"/>
      <x:c r="G18" s="62" t="str">
        <x:f>IF(OR(F18="",D18=""),"",F18+D18-1)</x:f>
      </x:c>
      <x:c r="H18" s="50"/>
      <x:c r="I18" s="50"/>
      <x:c r="J18" s="70"/>
      <x:c r="K18" s="50"/>
      <x:c r="L18" s="50"/>
      <x:c r="M18" s="50"/>
    </x:row>
    <x:row r="19" ht="44" customHeight="1">
      <x:c r="A19" s="50"/>
      <x:c r="B19" s="50"/>
      <x:c r="C19" s="50"/>
      <x:c r="D19" s="50"/>
      <x:c r="E19" s="50"/>
      <x:c r="F19" s="62"/>
      <x:c r="G19" s="62" t="str">
        <x:f>IF(OR(F19="",D19=""),"",F19+D19-1)</x:f>
      </x:c>
      <x:c r="H19" s="50"/>
      <x:c r="I19" s="50"/>
      <x:c r="J19" s="70"/>
      <x:c r="K19" s="50"/>
      <x:c r="L19" s="50"/>
      <x:c r="M19" s="50"/>
    </x:row>
    <x:row r="20" ht="44" customHeight="1">
      <x:c r="A20" s="50"/>
      <x:c r="B20" s="50"/>
      <x:c r="C20" s="50"/>
      <x:c r="D20" s="50"/>
      <x:c r="E20" s="50"/>
      <x:c r="F20" s="62"/>
      <x:c r="G20" s="62" t="str">
        <x:f>IF(OR(F20="",D20=""),"",F20+D20-1)</x:f>
      </x:c>
      <x:c r="H20" s="50"/>
      <x:c r="I20" s="50"/>
      <x:c r="J20" s="70"/>
      <x:c r="K20" s="50"/>
      <x:c r="L20" s="50"/>
      <x:c r="M20" s="50"/>
    </x:row>
    <x:row r="21" ht="44" customHeight="1">
      <x:c r="A21" s="50"/>
      <x:c r="B21" s="50"/>
      <x:c r="C21" s="50"/>
      <x:c r="D21" s="50"/>
      <x:c r="E21" s="50"/>
      <x:c r="F21" s="62"/>
      <x:c r="G21" s="62" t="str">
        <x:f>IF(OR(F21="",D21=""),"",F21+D21-1)</x:f>
      </x:c>
      <x:c r="H21" s="50"/>
      <x:c r="I21" s="50"/>
      <x:c r="J21" s="70"/>
      <x:c r="K21" s="50"/>
      <x:c r="L21" s="50"/>
      <x:c r="M21" s="50"/>
    </x:row>
    <x:row r="22" ht="44" customHeight="1">
      <x:c r="A22" s="50"/>
      <x:c r="B22" s="50"/>
      <x:c r="C22" s="50"/>
      <x:c r="D22" s="50"/>
      <x:c r="E22" s="50"/>
      <x:c r="F22" s="62"/>
      <x:c r="G22" s="62" t="str">
        <x:f>IF(OR(F22="",D22=""),"",F22+D22-1)</x:f>
      </x:c>
      <x:c r="H22" s="50"/>
      <x:c r="I22" s="50"/>
      <x:c r="J22" s="70"/>
      <x:c r="K22" s="50"/>
      <x:c r="L22" s="50"/>
      <x:c r="M22" s="50"/>
    </x:row>
    <x:row r="23" ht="44" customHeight="1">
      <x:c r="A23" s="50"/>
      <x:c r="B23" s="50"/>
      <x:c r="C23" s="50"/>
      <x:c r="D23" s="50"/>
      <x:c r="E23" s="50"/>
      <x:c r="F23" s="62"/>
      <x:c r="G23" s="62" t="str">
        <x:f>IF(OR(F23="",D23=""),"",F23+D23-1)</x:f>
      </x:c>
      <x:c r="H23" s="50"/>
      <x:c r="I23" s="50"/>
      <x:c r="J23" s="70"/>
      <x:c r="K23" s="50"/>
      <x:c r="L23" s="50"/>
      <x:c r="M23" s="50"/>
    </x:row>
    <x:row r="24" ht="44" customHeight="1">
      <x:c r="A24" s="50"/>
      <x:c r="B24" s="50"/>
      <x:c r="C24" s="50"/>
      <x:c r="D24" s="50"/>
      <x:c r="E24" s="50"/>
      <x:c r="F24" s="62"/>
      <x:c r="G24" s="62" t="str">
        <x:f>IF(OR(F24="",D24=""),"",F24+D24-1)</x:f>
      </x:c>
      <x:c r="H24" s="50"/>
      <x:c r="I24" s="50"/>
      <x:c r="J24" s="70"/>
      <x:c r="K24" s="50"/>
      <x:c r="L24" s="50"/>
      <x:c r="M24" s="50"/>
    </x:row>
    <x:row r="25" ht="44" customHeight="1">
      <x:c r="A25" s="50"/>
      <x:c r="B25" s="50"/>
      <x:c r="C25" s="50"/>
      <x:c r="D25" s="50"/>
      <x:c r="E25" s="50"/>
      <x:c r="F25" s="62"/>
      <x:c r="G25" s="62" t="str">
        <x:f>IF(OR(F25="",D25=""),"",F25+D25-1)</x:f>
      </x:c>
      <x:c r="H25" s="50"/>
      <x:c r="I25" s="50"/>
      <x:c r="J25" s="70"/>
      <x:c r="K25" s="50"/>
      <x:c r="L25" s="50"/>
      <x:c r="M25" s="50"/>
    </x:row>
    <x:row r="26" ht="44" customHeight="1">
      <x:c r="A26" s="50"/>
      <x:c r="B26" s="50"/>
      <x:c r="C26" s="50"/>
      <x:c r="D26" s="50"/>
      <x:c r="E26" s="50"/>
      <x:c r="F26" s="62"/>
      <x:c r="G26" s="62" t="str">
        <x:f>IF(OR(F26="",D26=""),"",F26+D26-1)</x:f>
      </x:c>
      <x:c r="H26" s="50"/>
      <x:c r="I26" s="50"/>
      <x:c r="J26" s="70"/>
      <x:c r="K26" s="50"/>
      <x:c r="L26" s="50"/>
      <x:c r="M26" s="50"/>
    </x:row>
    <x:row r="27" ht="44" customHeight="1">
      <x:c r="A27" s="50"/>
      <x:c r="B27" s="50"/>
      <x:c r="C27" s="50"/>
      <x:c r="D27" s="50"/>
      <x:c r="E27" s="50"/>
      <x:c r="F27" s="62"/>
      <x:c r="G27" s="62" t="str">
        <x:f>IF(OR(F27="",D27=""),"",F27+D27-1)</x:f>
      </x:c>
      <x:c r="H27" s="50"/>
      <x:c r="I27" s="50"/>
      <x:c r="J27" s="70"/>
      <x:c r="K27" s="50"/>
      <x:c r="L27" s="50"/>
      <x:c r="M27" s="50"/>
    </x:row>
    <x:row r="28" ht="44" customHeight="1">
      <x:c r="A28" s="50"/>
      <x:c r="B28" s="50"/>
      <x:c r="C28" s="50"/>
      <x:c r="D28" s="50"/>
      <x:c r="E28" s="50"/>
      <x:c r="F28" s="62"/>
      <x:c r="G28" s="62" t="str">
        <x:f>IF(OR(F28="",D28=""),"",F28+D28-1)</x:f>
      </x:c>
      <x:c r="H28" s="50"/>
      <x:c r="I28" s="50"/>
      <x:c r="J28" s="70"/>
      <x:c r="K28" s="50"/>
      <x:c r="L28" s="50"/>
      <x:c r="M28" s="50"/>
    </x:row>
    <x:row r="29" ht="44" customHeight="1">
      <x:c r="A29" s="50"/>
      <x:c r="B29" s="50"/>
      <x:c r="C29" s="50"/>
      <x:c r="D29" s="50"/>
      <x:c r="E29" s="50"/>
      <x:c r="F29" s="62"/>
      <x:c r="G29" s="62" t="str">
        <x:f>IF(OR(F29="",D29=""),"",F29+D29-1)</x:f>
      </x:c>
      <x:c r="H29" s="50"/>
      <x:c r="I29" s="50"/>
      <x:c r="J29" s="70"/>
      <x:c r="K29" s="50"/>
      <x:c r="L29" s="50"/>
      <x:c r="M29" s="50"/>
    </x:row>
    <x:row r="31">
      <x:c r="I31" s="77" t="str">
        <x:v>Total budget estimé</x:v>
      </x:c>
      <x:c r="J31" s="78" t="n">
        <x:f>SUM(J18:J29)</x:f>
        <x:v>0</x:v>
      </x:c>
      <x:c r="K31" s="77" t="str">
        <x:v>Plafond pilote</x:v>
      </x:c>
      <x:c r="L31" s="78" t="n">
        <x:v>8000</x:v>
      </x:c>
    </x:row>
    <x:row r="32">
      <x:c r="I32" s="77" t="str">
        <x:v>Écart au plafond</x:v>
      </x:c>
      <x:c r="J32" s="78" t="n">
        <x:f>L31-J31</x:f>
        <x:v>8000</x:v>
      </x:c>
      <x:c r="K32" s="77"/>
      <x:c r="L32" s="77"/>
    </x:row>
  </x:sheetData>
  <x:mergeCells>
    <x:mergeCell ref="A1:L1"/>
    <x:mergeCell ref="A2:L2"/>
    <x:mergeCell ref="B4:L4"/>
    <x:mergeCell ref="B5:L5"/>
    <x:mergeCell ref="B6:L6"/>
    <x:mergeCell ref="B7:L7"/>
    <x:mergeCell ref="B8:L8"/>
    <x:mergeCell ref="B9:L9"/>
    <x:mergeCell ref="B10:L10"/>
    <x:mergeCell ref="B11:L11"/>
    <x:mergeCell ref="B12:L12"/>
    <x:mergeCell ref="B13:L13"/>
    <x:mergeCell ref="B14:L14"/>
  </x:mergeCells>
  <x:dataValidations count="2">
    <x:dataValidation type="list" sqref="J18:J29">
      <x:formula1>"À faire,En cours,Bloquée,Terminée,À valider"</x:formula1>
    </x:dataValidation>
    <x:dataValidation type="list" sqref="K18:K29">
      <x:formula1>"À faire,En cours,Bloquée,Terminée,À valider"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42" customHeight="1">
      <x:c r="A1" s="95" t="str">
        <x:v>SITUATION 6 — VOLUMES D’EXPOSITION. Données fictives créées pour permettre le calcul de taux.</x:v>
      </x:c>
      <x:c r="B1" s="95"/>
      <x:c r="C1" s="95"/>
      <x:c r="D1" s="95"/>
      <x:c r="E1" s="95"/>
      <x:c r="F1" s="95"/>
      <x:c r="G1" s="95"/>
      <x:c r="H1" s="95"/>
    </x:row>
    <x:row r="2" ht="42" customHeight="1">
      <x:c r="A2" s="98" t="str">
        <x:v>Les trois tableaux ci-dessous sont trois lectures des mêmes 6 500 unités : par référence, par lot et par atelier. Ne les additionnez pas entre eux. Les colonnes « Nombre de retours » et « Taux de retours » sont à compléter à partir de l’onglet « Retours_clients ».</x:v>
      </x:c>
      <x:c r="B2" s="98" t="str">
        <x:v>Les trois tableaux ci-dessous sont trois lectures des mêmes 6 500 unités : par référence, par lot et par atelier. Ne les additionnez pas entre eux. Les colonnes « Nombre de retours » et « Taux de retours » sont à compléter à partir de l’onglet « Retours_clients ».</x:v>
      </x:c>
      <x:c r="C2" s="98" t="str">
        <x:v>Les trois tableaux ci-dessous sont trois lectures des mêmes 6 500 unités : par référence, par lot et par atelier. Ne les additionnez pas entre eux. Les colonnes « Nombre de retours » et « Taux de retours » sont à compléter à partir de l’onglet « Retours_clients ».</x:v>
      </x:c>
      <x:c r="D2" s="98" t="str">
        <x:v>Les trois tableaux ci-dessous sont trois lectures des mêmes 6 500 unités : par référence, par lot et par atelier. Ne les additionnez pas entre eux. Les colonnes « Nombre de retours » et « Taux de retours » sont à compléter à partir de l’onglet « Retours_clients ».</x:v>
      </x:c>
      <x:c r="E2" s="98" t="str">
        <x:v>Les trois tableaux ci-dessous sont trois lectures des mêmes 6 500 unités : par référence, par lot et par atelier. Ne les additionnez pas entre eux. Les colonnes « Nombre de retours » et « Taux de retours » sont à compléter à partir de l’onglet « Retours_clients ».</x:v>
      </x:c>
      <x:c r="F2" s="98" t="str">
        <x:v>Les trois tableaux ci-dessous sont trois lectures des mêmes 6 500 unités : par référence, par lot et par atelier. Ne les additionnez pas entre eux. Les colonnes « Nombre de retours » et « Taux de retours » sont à compléter à partir de l’onglet « Retours_clients ».</x:v>
      </x:c>
      <x:c r="G2" s="98" t="str">
        <x:v>Les trois tableaux ci-dessous sont trois lectures des mêmes 6 500 unités : par référence, par lot et par atelier. Ne les additionnez pas entre eux. Les colonnes « Nombre de retours » et « Taux de retours » sont à compléter à partir de l’onglet « Retours_clients ».</x:v>
      </x:c>
      <x:c r="H2" s="98" t="str">
        <x:v>Les trois tableaux ci-dessous sont trois lectures des mêmes 6 500 unités : par référence, par lot et par atelier. Ne les additionnez pas entre eux. Les colonnes « Nombre de retours » et « Taux de retours » sont à compléter à partir de l’onglet « Retours_clients ».</x:v>
      </x:c>
    </x:row>
    <x:row r="4">
      <x:c r="A4" s="92" t="str">
        <x:v>Référence pédagogique</x:v>
      </x:c>
      <x:c r="B4" s="92" t="str">
        <x:v>Unités vendues</x:v>
      </x:c>
      <x:c r="C4" s="92" t="str">
        <x:v>Nombre de retours</x:v>
      </x:c>
      <x:c r="D4" s="92" t="str">
        <x:v>Taux de retours</x:v>
      </x:c>
    </x:row>
    <x:row r="5">
      <x:c r="A5" t="str">
        <x:v>J-101</x:v>
      </x:c>
      <x:c r="B5" t="n">
        <x:v>900</x:v>
      </x:c>
      <x:c r="C5"/>
      <x:c r="D5" s="99"/>
    </x:row>
    <x:row r="6">
      <x:c r="A6" t="str">
        <x:v>J-102</x:v>
      </x:c>
      <x:c r="B6" t="n">
        <x:v>1350</x:v>
      </x:c>
      <x:c r="C6"/>
      <x:c r="D6" s="99"/>
    </x:row>
    <x:row r="7">
      <x:c r="A7" t="str">
        <x:v>J-201</x:v>
      </x:c>
      <x:c r="B7" t="n">
        <x:v>1450</x:v>
      </x:c>
      <x:c r="C7"/>
      <x:c r="D7" s="99"/>
    </x:row>
    <x:row r="8">
      <x:c r="A8" t="str">
        <x:v>V-401</x:v>
      </x:c>
      <x:c r="B8" t="n">
        <x:v>1700</x:v>
      </x:c>
      <x:c r="C8"/>
      <x:c r="D8" s="99"/>
    </x:row>
    <x:row r="9">
      <x:c r="A9" t="str">
        <x:v>CH-301</x:v>
      </x:c>
      <x:c r="B9" t="n">
        <x:v>1100</x:v>
      </x:c>
      <x:c r="C9"/>
      <x:c r="D9" s="99"/>
    </x:row>
    <x:row r="12">
      <x:c r="A12" s="92" t="str">
        <x:v>Lot</x:v>
      </x:c>
      <x:c r="B12" s="92" t="str">
        <x:v>Unités du lot</x:v>
      </x:c>
      <x:c r="C12" s="92" t="str">
        <x:v>Nombre de retours</x:v>
      </x:c>
      <x:c r="D12" s="92" t="str">
        <x:v>Taux de retours</x:v>
      </x:c>
    </x:row>
    <x:row r="13">
      <x:c r="A13" t="str">
        <x:v>L26-06</x:v>
      </x:c>
      <x:c r="B13" t="n">
        <x:v>1500</x:v>
      </x:c>
      <x:c r="C13"/>
      <x:c r="D13" s="99"/>
    </x:row>
    <x:row r="14">
      <x:c r="A14" t="str">
        <x:v>L26-07</x:v>
      </x:c>
      <x:c r="B14" t="n">
        <x:v>1650</x:v>
      </x:c>
      <x:c r="C14"/>
      <x:c r="D14" s="99"/>
    </x:row>
    <x:row r="15">
      <x:c r="A15" t="str">
        <x:v>L26-08</x:v>
      </x:c>
      <x:c r="B15" t="n">
        <x:v>1750</x:v>
      </x:c>
      <x:c r="C15"/>
      <x:c r="D15" s="99"/>
    </x:row>
    <x:row r="16">
      <x:c r="A16" t="str">
        <x:v>L26-09</x:v>
      </x:c>
      <x:c r="B16" t="n">
        <x:v>1600</x:v>
      </x:c>
      <x:c r="C16"/>
      <x:c r="D16" s="99"/>
    </x:row>
    <x:row r="20">
      <x:c r="A20" s="92" t="str">
        <x:v>Atelier pédagogique</x:v>
      </x:c>
      <x:c r="B20" s="92" t="str">
        <x:v>Unités produites</x:v>
      </x:c>
      <x:c r="C20" s="92" t="str">
        <x:v>Nombre de retours</x:v>
      </x:c>
      <x:c r="D20" s="92" t="str">
        <x:v>Taux de retours</x:v>
      </x:c>
    </x:row>
    <x:row r="21">
      <x:c r="A21" t="str">
        <x:v>Atelier A</x:v>
      </x:c>
      <x:c r="B21" t="n">
        <x:v>1650</x:v>
      </x:c>
      <x:c r="C21"/>
      <x:c r="D21" s="99"/>
    </x:row>
    <x:row r="22">
      <x:c r="A22" t="str">
        <x:v>Atelier B</x:v>
      </x:c>
      <x:c r="B22" t="n">
        <x:v>1700</x:v>
      </x:c>
      <x:c r="C22"/>
      <x:c r="D22" s="99"/>
    </x:row>
    <x:row r="23">
      <x:c r="A23" t="str">
        <x:v>Atelier C</x:v>
      </x:c>
      <x:c r="B23" t="n">
        <x:v>1600</x:v>
      </x:c>
      <x:c r="C23"/>
      <x:c r="D23" s="99"/>
    </x:row>
    <x:row r="24">
      <x:c r="A24" t="str">
        <x:v>Atelier D</x:v>
      </x:c>
      <x:c r="B24" t="n">
        <x:v>1550</x:v>
      </x:c>
      <x:c r="C24"/>
      <x:c r="D24" s="99"/>
    </x:row>
    <x:row r="28" ht="42" customHeight="1">
      <x:c r="A28" s="98" t="str">
        <x:v>DONNÉE COMPLÉMENTAIRE À UTILISER APRÈS VOTRE PREMIER TRI : 520 unités J-101 du lot L26-08 ont été produites par l’Atelier C. À vous de retrouver dans « Retours_clients » le nombre de retours correspondant et la part liée au motif « Couture ».</x:v>
      </x:c>
      <x:c r="B28" s="98" t="str">
        <x:v>DONNÉE COMPLÉMENTAIRE À UTILISER APRÈS VOTRE PREMIER TRI : 520 unités J-101 du lot L26-08 ont été produites par l’Atelier C. À vous de retrouver dans « Retours_clients » le nombre de retours correspondant et la part liée au motif « Couture ».</x:v>
      </x:c>
      <x:c r="C28" s="98" t="str">
        <x:v>DONNÉE COMPLÉMENTAIRE À UTILISER APRÈS VOTRE PREMIER TRI : 520 unités J-101 du lot L26-08 ont été produites par l’Atelier C. À vous de retrouver dans « Retours_clients » le nombre de retours correspondant et la part liée au motif « Couture ».</x:v>
      </x:c>
      <x:c r="D28" s="98" t="str">
        <x:v>DONNÉE COMPLÉMENTAIRE À UTILISER APRÈS VOTRE PREMIER TRI : 520 unités J-101 du lot L26-08 ont été produites par l’Atelier C. À vous de retrouver dans « Retours_clients » le nombre de retours correspondant et la part liée au motif « Couture ».</x:v>
      </x:c>
      <x:c r="E28" s="98" t="str">
        <x:v>DONNÉE COMPLÉMENTAIRE À UTILISER APRÈS VOTRE PREMIER TRI : 520 unités J-101 du lot L26-08 ont été produites par l’Atelier C. À vous de retrouver dans « Retours_clients » le nombre de retours correspondant et la part liée au motif « Couture ».</x:v>
      </x:c>
      <x:c r="F28" s="98" t="str">
        <x:v>DONNÉE COMPLÉMENTAIRE À UTILISER APRÈS VOTRE PREMIER TRI : 520 unités J-101 du lot L26-08 ont été produites par l’Atelier C. À vous de retrouver dans « Retours_clients » le nombre de retours correspondant et la part liée au motif « Couture ».</x:v>
      </x:c>
      <x:c r="G28" s="98" t="str">
        <x:v>DONNÉE COMPLÉMENTAIRE À UTILISER APRÈS VOTRE PREMIER TRI : 520 unités J-101 du lot L26-08 ont été produites par l’Atelier C. À vous de retrouver dans « Retours_clients » le nombre de retours correspondant et la part liée au motif « Couture ».</x:v>
      </x:c>
      <x:c r="H28" s="98" t="str">
        <x:v>DONNÉE COMPLÉMENTAIRE À UTILISER APRÈS VOTRE PREMIER TRI : 520 unités J-101 du lot L26-08 ont été produites par l’Atelier C. À vous de retrouver dans « Retours_clients » le nombre de retours correspondant et la part liée au motif « Couture ».</x:v>
      </x:c>
    </x:row>
    <x:row r="30">
      <x:c r="A30" s="92" t="str">
        <x:v>Périmètre ciblé</x:v>
      </x:c>
      <x:c r="B30" s="92" t="str">
        <x:v>Unités exposées</x:v>
      </x:c>
      <x:c r="C30" s="92" t="str">
        <x:v>Retours totaux</x:v>
      </x:c>
      <x:c r="D30" s="92" t="str">
        <x:v>Retours motif « Couture »</x:v>
      </x:c>
    </x:row>
    <x:row r="31">
      <x:c r="A31" t="str">
        <x:v>J-101 · L26-08 · Atelier C</x:v>
      </x:c>
      <x:c r="B31" t="n">
        <x:v>520</x:v>
      </x:c>
      <x:c r="C31"/>
      <x:c r="D31"/>
    </x:row>
    <x:row r="33" ht="42" customHeight="1">
      <x:c r="A33" s="98" t="str">
        <x:v>Attention : cette concentration oriente l’enquête ; elle ne démontre pas à elle seule la cause du dysfonctionnement.</x:v>
      </x:c>
      <x:c r="B33" s="98"/>
      <x:c r="C33" s="98"/>
      <x:c r="D33" s="98"/>
      <x:c r="E33" s="98"/>
      <x:c r="F33" s="98"/>
      <x:c r="G33" s="98"/>
      <x:c r="H33" s="98"/>
    </x:row>
  </x:sheetData>
  <x:mergeCells>
    <x:mergeCell ref="A1:H1"/>
    <x:mergeCell ref="A2:H2"/>
    <x:mergeCell ref="A28:H28"/>
    <x:mergeCell ref="A33:H3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48" hidden="0" customWidth="1"/>
    <x:col min="4" max="4" width="16" hidden="0" customWidth="1"/>
    <x:col min="5" max="5" width="26" hidden="0" customWidth="1"/>
    <x:col min="6" max="6" width="46" hidden="0" customWidth="1"/>
  </x:cols>
  <x:sheetData>
    <x:row r="1" ht="46" customHeight="1">
      <x:c r="A1" s="95" t="str">
        <x:v>SITUATION 6 — ÉLÉMENTS DE DIAGNOSTIC COMPLÉMENTAIRE. Toutes les pièces et mesures ci-dessous sont fictives.</x:v>
      </x:c>
      <x:c r="B1" s="95"/>
      <x:c r="C1" s="95"/>
      <x:c r="D1" s="95"/>
      <x:c r="E1" s="95"/>
      <x:c r="F1" s="95"/>
    </x:row>
    <x:row r="2" ht="46" customHeight="1">
      <x:c r="A2" s="98" t="str">
        <x:v>Ces éléments sont fournis pour tester les hypothèses issues de l’analyse des retours. Distinguez ce qu’ils permettent d’établir, ce qu’ils rendent probable et ce qu’ils ne permettent toujours pas d’affirmer.</x:v>
      </x:c>
      <x:c r="B2" s="98"/>
      <x:c r="C2" s="98"/>
      <x:c r="D2" s="98"/>
      <x:c r="E2" s="98"/>
      <x:c r="F2" s="98"/>
    </x:row>
    <x:row r="4" ht="42" customHeight="1">
      <x:c r="A4" s="92" t="str">
        <x:v>Élément contrôlé</x:v>
      </x:c>
      <x:c r="B4" s="92" t="str">
        <x:v>Périmètre</x:v>
      </x:c>
      <x:c r="C4" s="92" t="str">
        <x:v>Résultat factuel</x:v>
      </x:c>
      <x:c r="D4" s="92" t="str">
        <x:v>Date</x:v>
      </x:c>
      <x:c r="E4" s="92" t="str">
        <x:v>Type de preuve</x:v>
      </x:c>
      <x:c r="F4" s="92" t="str">
        <x:v>Limite / prudence</x:v>
      </x:c>
    </x:row>
    <x:row r="5" ht="82" customHeight="1">
      <x:c r="A5" s="50" t="str">
        <x:v>Procédure QUA-COUT-04</x:v>
      </x:c>
      <x:c r="B5" s="50" t="str">
        <x:v>Contrôle couture</x:v>
      </x:c>
      <x:c r="C5" s="50" t="str">
        <x:v>La tension de fil attendue est comprise entre 2,4 et 2,6. Un contrôle doit être tracé au démarrage de chaque lot et après changement de fil ou de matière.</x:v>
      </x:c>
      <x:c r="D5" s="50" t="str">
        <x:v>05/09/2026</x:v>
      </x:c>
      <x:c r="E5" s="50" t="str">
        <x:v>Procédure interne simulée</x:v>
      </x:c>
      <x:c r="F5" s="50" t="str">
        <x:v>La procédure décrit ce qui est attendu ; elle ne prouve pas que le contrôle a été réalisé.</x:v>
      </x:c>
    </x:row>
    <x:row r="6" ht="82" customHeight="1">
      <x:c r="A6" s="50" t="str">
        <x:v>Fiche de démarrage</x:v>
      </x:c>
      <x:c r="B6" s="50" t="str">
        <x:v>J-101 · L26-08 · Atelier C · poste C-04</x:v>
      </x:c>
      <x:c r="C6" s="50" t="str">
        <x:v>Aucune trace de contrôle de tension n’a été retrouvée au démarrage du lot.</x:v>
      </x:c>
      <x:c r="D6" s="50" t="str">
        <x:v>05/09/2026</x:v>
      </x:c>
      <x:c r="E6" s="50" t="str">
        <x:v>Enregistrement interne simulé</x:v>
      </x:c>
      <x:c r="F6" s="50" t="str">
        <x:v>Absence de trace ≠ preuve certaine d’absence d’action ; il faut recouper.</x:v>
      </x:c>
    </x:row>
    <x:row r="7" ht="82" customHeight="1">
      <x:c r="A7" s="50" t="str">
        <x:v>Contrôle maintenance</x:v>
      </x:c>
      <x:c r="B7" s="50" t="str">
        <x:v>Poste C-04</x:v>
      </x:c>
      <x:c r="C7" s="50" t="str">
        <x:v>Tension mesurée à 3,2. Aucun organe mécanique cassé n’est identifié.</x:v>
      </x:c>
      <x:c r="D7" s="50" t="str">
        <x:v>06/09/2026</x:v>
      </x:c>
      <x:c r="E7" s="50" t="str">
        <x:v>Compte rendu maintenance simulé</x:v>
      </x:c>
      <x:c r="F7" s="50" t="str">
        <x:v>Mesure réalisée après apparition du problème ; elle doit être rapprochée d’autres éléments.</x:v>
      </x:c>
    </x:row>
    <x:row r="8" ht="82" customHeight="1">
      <x:c r="A8" s="50" t="str">
        <x:v>Échantillon avant réglage</x:v>
      </x:c>
      <x:c r="B8" s="50" t="str">
        <x:v>J-101 · L26-08 · Atelier C · poste C-04</x:v>
      </x:c>
      <x:c r="C8" s="50" t="str">
        <x:v>40 pièces contrôlées : 6 non-conformités de couture ciblées.</x:v>
      </x:c>
      <x:c r="D8" s="50" t="str">
        <x:v>06/09/2026</x:v>
      </x:c>
      <x:c r="E8" s="50" t="str">
        <x:v>Contrôle qualité simulé</x:v>
      </x:c>
      <x:c r="F8" s="50" t="str">
        <x:v>Échantillon limité à 40 pièces.</x:v>
      </x:c>
    </x:row>
    <x:row r="9" ht="82" customHeight="1">
      <x:c r="A9" s="50" t="str">
        <x:v>Échantillon comparatif</x:v>
      </x:c>
      <x:c r="B9" s="50" t="str">
        <x:v>Même référence et lot · poste C-02</x:v>
      </x:c>
      <x:c r="C9" s="50" t="str">
        <x:v>40 pièces contrôlées : 1 non-conformité de couture ciblée.</x:v>
      </x:c>
      <x:c r="D9" s="50" t="str">
        <x:v>06/09/2026</x:v>
      </x:c>
      <x:c r="E9" s="50" t="str">
        <x:v>Contrôle qualité simulé</x:v>
      </x:c>
      <x:c r="F9" s="50" t="str">
        <x:v>Comparaison utile mais un autre poste peut différer sur plusieurs paramètres.</x:v>
      </x:c>
    </x:row>
    <x:row r="10" ht="82" customHeight="1">
      <x:c r="A10" s="50" t="str">
        <x:v>Test après remise au réglage standard</x:v>
      </x:c>
      <x:c r="B10" s="50" t="str">
        <x:v>J-101 · L26-08 · poste C-04</x:v>
      </x:c>
      <x:c r="C10" s="50" t="str">
        <x:v>40 pièces contrôlées : 1 non-conformité de couture ciblée.</x:v>
      </x:c>
      <x:c r="D10" s="50" t="str">
        <x:v>07/09/2026</x:v>
      </x:c>
      <x:c r="E10" s="50" t="str">
        <x:v>Test qualité simulé</x:v>
      </x:c>
      <x:c r="F10" s="50" t="str">
        <x:v>Résultat encourageant à confirmer sur une durée plus longue.</x:v>
      </x:c>
    </x:row>
    <x:row r="12" ht="48" customHeight="1">
      <x:c r="A12" s="102" t="str">
        <x:v>Travail attendu : reliez ces éléments aux données de retours, classez vos hypothèses (écartées / plausibles / étayées) et formulez une conclusion proportionnée aux preuves.</x:v>
      </x:c>
      <x:c r="B12" s="102"/>
      <x:c r="C12" s="102"/>
      <x:c r="D12" s="102"/>
      <x:c r="E12" s="102"/>
      <x:c r="F12" s="102"/>
    </x:row>
  </x:sheetData>
  <x:mergeCells>
    <x:mergeCell ref="A1:F1"/>
    <x:mergeCell ref="A2:F2"/>
    <x:mergeCell ref="A12:F1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22" hidden="0" customWidth="1"/>
    <x:col min="6" max="6" width="19" hidden="0" customWidth="1"/>
    <x:col min="7" max="7" width="18" hidden="0" customWidth="1"/>
    <x:col min="8" max="8" width="22" hidden="0" customWidth="1"/>
    <x:col min="9" max="9" width="22" hidden="0" customWidth="1"/>
    <x:col min="10" max="10" width="44" hidden="0" customWidth="1"/>
  </x:cols>
  <x:sheetData>
    <x:row r="1" ht="46" customHeight="1">
      <x:c r="A1" s="95" t="str">
        <x:v>SITUATION 6 — SUIVI DU PILOTE SUR QUATRE SEMAINES. Données fictives de suivi.</x:v>
      </x:c>
      <x:c r="B1" s="95"/>
      <x:c r="C1" s="95"/>
      <x:c r="D1" s="95"/>
      <x:c r="E1" s="95"/>
      <x:c r="F1" s="95"/>
      <x:c r="G1" s="95"/>
      <x:c r="H1" s="95"/>
      <x:c r="I1" s="95"/>
      <x:c r="J1" s="95"/>
    </x:row>
    <x:row r="2" ht="46" customHeight="1">
      <x:c r="A2" s="98" t="str">
        <x:v>Le suivi concerne la couture de la référence J-101 sur le périmètre ciblé après ajustement du contrôle. Calculez les taux et construisez vous-même la synthèse des quatre semaines. Les retours clients peuvent être décalés dans le temps : une amélioration observée sur quatre semaines doit encore être confirmée.</x:v>
      </x:c>
      <x:c r="B2" s="98" t="str">
        <x:v>Le suivi concerne la couture de la référence J-101 sur le périmètre ciblé après ajustement du contrôle. Calculez les taux et construisez vous-même la synthèse des quatre semaines. Les retours clients peuvent être décalés dans le temps : une amélioration observée sur quatre semaines doit encore être confirmée.</x:v>
      </x:c>
      <x:c r="C2" s="98" t="str">
        <x:v>Le suivi concerne la couture de la référence J-101 sur le périmètre ciblé après ajustement du contrôle. Calculez les taux et construisez vous-même la synthèse des quatre semaines. Les retours clients peuvent être décalés dans le temps : une amélioration observée sur quatre semaines doit encore être confirmée.</x:v>
      </x:c>
      <x:c r="D2" s="98" t="str">
        <x:v>Le suivi concerne la couture de la référence J-101 sur le périmètre ciblé après ajustement du contrôle. Calculez les taux et construisez vous-même la synthèse des quatre semaines. Les retours clients peuvent être décalés dans le temps : une amélioration observée sur quatre semaines doit encore être confirmée.</x:v>
      </x:c>
      <x:c r="E2" s="98" t="str">
        <x:v>Le suivi concerne la couture de la référence J-101 sur le périmètre ciblé après ajustement du contrôle. Calculez les taux et construisez vous-même la synthèse des quatre semaines. Les retours clients peuvent être décalés dans le temps : une amélioration observée sur quatre semaines doit encore être confirmée.</x:v>
      </x:c>
      <x:c r="F2" s="98" t="str">
        <x:v>Le suivi concerne la couture de la référence J-101 sur le périmètre ciblé après ajustement du contrôle. Calculez les taux et construisez vous-même la synthèse des quatre semaines. Les retours clients peuvent être décalés dans le temps : une amélioration observée sur quatre semaines doit encore être confirmée.</x:v>
      </x:c>
      <x:c r="G2" s="98" t="str">
        <x:v>Le suivi concerne la couture de la référence J-101 sur le périmètre ciblé après ajustement du contrôle. Calculez les taux et construisez vous-même la synthèse des quatre semaines. Les retours clients peuvent être décalés dans le temps : une amélioration observée sur quatre semaines doit encore être confirmée.</x:v>
      </x:c>
      <x:c r="H2" s="98" t="str">
        <x:v>Le suivi concerne la couture de la référence J-101 sur le périmètre ciblé après ajustement du contrôle. Calculez les taux et construisez vous-même la synthèse des quatre semaines. Les retours clients peuvent être décalés dans le temps : une amélioration observée sur quatre semaines doit encore être confirmée.</x:v>
      </x:c>
      <x:c r="I2" s="98" t="str">
        <x:v>Le suivi concerne la couture de la référence J-101 sur le périmètre ciblé après ajustement du contrôle. Calculez les taux et construisez vous-même la synthèse des quatre semaines. Les retours clients peuvent être décalés dans le temps : une amélioration observée sur quatre semaines doit encore être confirmée.</x:v>
      </x:c>
      <x:c r="J2" s="98" t="str">
        <x:v>Le suivi concerne la couture de la référence J-101 sur le périmètre ciblé après ajustement du contrôle. Calculez les taux et construisez vous-même la synthèse des quatre semaines. Les retours clients peuvent être décalés dans le temps : une amélioration observée sur quatre semaines doit encore être confirmée.</x:v>
      </x:c>
    </x:row>
    <x:row r="4" ht="50" customHeight="1">
      <x:c r="A4" s="92" t="str">
        <x:v>Période</x:v>
      </x:c>
      <x:c r="B4" s="92" t="str">
        <x:v>Unités exposées</x:v>
      </x:c>
      <x:c r="C4" s="92" t="str">
        <x:v>Retours couture</x:v>
      </x:c>
      <x:c r="D4" s="92" t="str">
        <x:v>Taux de retours</x:v>
      </x:c>
      <x:c r="E4" s="92" t="str">
        <x:v>Pièces contrôlées en fin de ligne</x:v>
      </x:c>
      <x:c r="F4" s="92" t="str">
        <x:v>NC couture détectées</x:v>
      </x:c>
      <x:c r="G4" s="92" t="str">
        <x:v>Taux NC au contrôle</x:v>
      </x:c>
      <x:c r="H4" s="92" t="str">
        <x:v>Contrôles de démarrage tracés</x:v>
      </x:c>
      <x:c r="I4" s="92" t="str">
        <x:v>Temps additionnel moyen / lot</x:v>
      </x:c>
      <x:c r="J4" s="92" t="str">
        <x:v>Observation</x:v>
      </x:c>
    </x:row>
    <x:row r="5" ht="60" customHeight="1">
      <x:c r="A5" s="50" t="str">
        <x:v>Référence avant pilote</x:v>
      </x:c>
      <x:c r="B5" s="50" t="n">
        <x:v>520</x:v>
      </x:c>
      <x:c r="C5" s="50" t="n">
        <x:v>19</x:v>
      </x:c>
      <x:c r="D5" s="105"/>
      <x:c r="E5" s="50" t="n">
        <x:v>40</x:v>
      </x:c>
      <x:c r="F5" s="50" t="n">
        <x:v>6</x:v>
      </x:c>
      <x:c r="G5" s="105"/>
      <x:c r="H5" s="50" t="str">
        <x:v>NE</x:v>
      </x:c>
      <x:c r="I5" s="50" t="str">
        <x:v>NE</x:v>
      </x:c>
      <x:c r="J5" s="50" t="str">
        <x:v>Périmètre J-101 · L26-08 · Atelier C ; base de comparaison.</x:v>
      </x:c>
    </x:row>
    <x:row r="6" ht="60" customHeight="1">
      <x:c r="A6" s="50" t="str">
        <x:v>Semaine 1</x:v>
      </x:c>
      <x:c r="B6" s="50" t="n">
        <x:v>130</x:v>
      </x:c>
      <x:c r="C6" s="50" t="n">
        <x:v>3</x:v>
      </x:c>
      <x:c r="D6" s="105"/>
      <x:c r="E6" s="50" t="n">
        <x:v>40</x:v>
      </x:c>
      <x:c r="F6" s="50" t="n">
        <x:v>2</x:v>
      </x:c>
      <x:c r="G6" s="105"/>
      <x:c r="H6" s="107" t="n">
        <x:v>0.8</x:v>
      </x:c>
      <x:c r="I6" s="50" t="n">
        <x:v>14</x:v>
      </x:c>
      <x:c r="J6" s="50" t="str">
        <x:v>5 contrôles de démarrage prévus ; 4 tracés.</x:v>
      </x:c>
    </x:row>
    <x:row r="7" ht="60" customHeight="1">
      <x:c r="A7" s="50" t="str">
        <x:v>Semaine 2</x:v>
      </x:c>
      <x:c r="B7" s="50" t="n">
        <x:v>140</x:v>
      </x:c>
      <x:c r="C7" s="50" t="n">
        <x:v>2</x:v>
      </x:c>
      <x:c r="D7" s="105"/>
      <x:c r="E7" s="50" t="n">
        <x:v>45</x:v>
      </x:c>
      <x:c r="F7" s="50" t="n">
        <x:v>1</x:v>
      </x:c>
      <x:c r="G7" s="105"/>
      <x:c r="H7" s="107" t="n">
        <x:v>0.95</x:v>
      </x:c>
      <x:c r="I7" s="50" t="n">
        <x:v>11</x:v>
      </x:c>
      <x:c r="J7" s="50" t="str">
        <x:v>20 contrôles de démarrage prévus ; 19 tracés.</x:v>
      </x:c>
    </x:row>
    <x:row r="8" ht="60" customHeight="1">
      <x:c r="A8" s="50" t="str">
        <x:v>Semaine 3</x:v>
      </x:c>
      <x:c r="B8" s="50" t="n">
        <x:v>135</x:v>
      </x:c>
      <x:c r="C8" s="50" t="n">
        <x:v>1</x:v>
      </x:c>
      <x:c r="D8" s="105"/>
      <x:c r="E8" s="50" t="n">
        <x:v>45</x:v>
      </x:c>
      <x:c r="F8" s="50" t="n">
        <x:v>1</x:v>
      </x:c>
      <x:c r="G8" s="105"/>
      <x:c r="H8" s="107" t="n">
        <x:v>1</x:v>
      </x:c>
      <x:c r="I8" s="50" t="n">
        <x:v>10</x:v>
      </x:c>
      <x:c r="J8" s="50" t="str">
        <x:v>20 contrôles de démarrage prévus ; 20 tracés.</x:v>
      </x:c>
    </x:row>
    <x:row r="9" ht="60" customHeight="1">
      <x:c r="A9" s="50" t="str">
        <x:v>Semaine 4</x:v>
      </x:c>
      <x:c r="B9" s="50" t="n">
        <x:v>145</x:v>
      </x:c>
      <x:c r="C9" s="50" t="n">
        <x:v>1</x:v>
      </x:c>
      <x:c r="D9" s="105"/>
      <x:c r="E9" s="50" t="n">
        <x:v>50</x:v>
      </x:c>
      <x:c r="F9" s="50" t="n">
        <x:v>0</x:v>
      </x:c>
      <x:c r="G9" s="105"/>
      <x:c r="H9" s="107" t="n">
        <x:v>1</x:v>
      </x:c>
      <x:c r="I9" s="50" t="n">
        <x:v>9</x:v>
      </x:c>
      <x:c r="J9" s="50" t="str">
        <x:v>20 contrôles de démarrage prévus ; 20 tracés.</x:v>
      </x:c>
    </x:row>
    <x:row r="10">
      <x:c r="A10" s="50"/>
      <x:c r="B10" s="50"/>
      <x:c r="C10" s="50"/>
      <x:c r="D10" s="105"/>
      <x:c r="E10" s="50"/>
      <x:c r="F10" s="50"/>
      <x:c r="G10" s="105"/>
      <x:c r="H10" s="50"/>
      <x:c r="I10" s="50"/>
      <x:c r="J10" s="50"/>
    </x:row>
    <x:row r="11">
      <x:c r="A11" s="104" t="str">
        <x:v>Total / synthèse pilote (S1 à S4)</x:v>
      </x:c>
      <x:c r="B11" s="104"/>
      <x:c r="C11" s="104"/>
      <x:c r="D11" s="106"/>
      <x:c r="E11" s="104"/>
      <x:c r="F11" s="104"/>
      <x:c r="G11" s="106"/>
      <x:c r="H11" s="104"/>
      <x:c r="I11" s="104"/>
      <x:c r="J11" s="104"/>
    </x:row>
    <x:row r="13" ht="48" customHeight="1">
      <x:c r="A13" s="98" t="str">
        <x:v>À interpréter : comparez la situation de référence et le pilote, mais tenez compte du décalage possible des retours clients, de la durée limitée et de la taille des échantillons.</x:v>
      </x:c>
      <x:c r="B13" s="98"/>
      <x:c r="C13" s="98"/>
      <x:c r="D13" s="98"/>
      <x:c r="E13" s="98"/>
      <x:c r="F13" s="98"/>
      <x:c r="G13" s="98"/>
      <x:c r="H13" s="98"/>
      <x:c r="I13" s="98"/>
      <x:c r="J13" s="98"/>
    </x:row>
  </x:sheetData>
  <x:mergeCells>
    <x:mergeCell ref="A1:J1"/>
    <x:mergeCell ref="A2:J2"/>
    <x:mergeCell ref="A13:J1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46" customHeight="1">
      <x:c r="A1" s="95" t="str">
        <x:v>SITUATION 6 — FICHE DE RETOUR D’EXPÉRIENCE / CAPITALISATION</x:v>
      </x:c>
      <x:c r="B1" s="95"/>
      <x:c r="C1" s="95"/>
      <x:c r="D1" s="95"/>
      <x:c r="E1" s="95"/>
      <x:c r="F1" s="95"/>
    </x:row>
    <x:row r="2" ht="46" customHeight="1">
      <x:c r="A2" s="98" t="str">
        <x:v>Ne renseignez comme « cause validée » ou « efficacité démontrée » que ce que les preuves permettent réellement d’affirmer. Si le recul est insuffisant, indiquez « à confirmer » et programmez une nouvelle vérification.</x:v>
      </x:c>
      <x:c r="B2" s="98"/>
      <x:c r="C2" s="98"/>
      <x:c r="D2" s="98"/>
      <x:c r="E2" s="98"/>
      <x:c r="F2" s="98"/>
    </x:row>
    <x:row r="4" ht="42" customHeight="1">
      <x:c r="A4" s="117" t="str">
        <x:v>Identifiant / date du REX</x:v>
      </x:c>
      <x:c r="B4" s="117"/>
      <x:c r="C4" s="50"/>
      <x:c r="D4" s="50"/>
      <x:c r="E4" s="50"/>
      <x:c r="F4" s="50"/>
    </x:row>
    <x:row r="5" ht="42" customHeight="1">
      <x:c r="A5" s="117" t="str">
        <x:v>Objet et périmètre</x:v>
      </x:c>
      <x:c r="B5" s="117"/>
      <x:c r="C5" s="50"/>
      <x:c r="D5" s="50"/>
      <x:c r="E5" s="50"/>
      <x:c r="F5" s="50"/>
    </x:row>
    <x:row r="6" ht="42" customHeight="1">
      <x:c r="A6" s="117" t="str">
        <x:v>Faits établis et sources</x:v>
      </x:c>
      <x:c r="B6" s="117"/>
      <x:c r="C6" s="50"/>
      <x:c r="D6" s="50"/>
      <x:c r="E6" s="50"/>
      <x:c r="F6" s="50"/>
    </x:row>
    <x:row r="7" ht="42" customHeight="1">
      <x:c r="A7" s="117" t="str">
        <x:v>Impacts mesurés</x:v>
      </x:c>
      <x:c r="B7" s="117"/>
      <x:c r="C7" s="50"/>
      <x:c r="D7" s="50"/>
      <x:c r="E7" s="50"/>
      <x:c r="F7" s="50"/>
    </x:row>
    <x:row r="8" ht="42" customHeight="1">
      <x:c r="A8" s="117" t="str">
        <x:v>Hypothèses examinées</x:v>
      </x:c>
      <x:c r="B8" s="117"/>
      <x:c r="C8" s="50"/>
      <x:c r="D8" s="50"/>
      <x:c r="E8" s="50"/>
      <x:c r="F8" s="50"/>
    </x:row>
    <x:row r="9" ht="42" customHeight="1">
      <x:c r="A9" s="117" t="str">
        <x:v>Cause(s) retenue(s) et niveau de confiance</x:v>
      </x:c>
      <x:c r="B9" s="117"/>
      <x:c r="C9" s="50"/>
      <x:c r="D9" s="50"/>
      <x:c r="E9" s="50"/>
      <x:c r="F9" s="50"/>
    </x:row>
    <x:row r="10" ht="42" customHeight="1">
      <x:c r="A10" s="117" t="str">
        <x:v>Action(s) testée(s)</x:v>
      </x:c>
      <x:c r="B10" s="117"/>
      <x:c r="C10" s="50"/>
      <x:c r="D10" s="50"/>
      <x:c r="E10" s="50"/>
      <x:c r="F10" s="50"/>
    </x:row>
    <x:row r="11" ht="42" customHeight="1">
      <x:c r="A11" s="117" t="str">
        <x:v>Indicateur de référence (avant)</x:v>
      </x:c>
      <x:c r="B11" s="117"/>
      <x:c r="C11" s="50"/>
      <x:c r="D11" s="50"/>
      <x:c r="E11" s="50"/>
      <x:c r="F11" s="50"/>
    </x:row>
    <x:row r="12" ht="42" customHeight="1">
      <x:c r="A12" s="117" t="str">
        <x:v>Cible / critère de réussite</x:v>
      </x:c>
      <x:c r="B12" s="117"/>
      <x:c r="C12" s="50"/>
      <x:c r="D12" s="50"/>
      <x:c r="E12" s="50"/>
      <x:c r="F12" s="50"/>
    </x:row>
    <x:row r="13" ht="42" customHeight="1">
      <x:c r="A13" s="117" t="str">
        <x:v>Résultat observé</x:v>
      </x:c>
      <x:c r="B13" s="117"/>
      <x:c r="C13" s="50"/>
      <x:c r="D13" s="50"/>
      <x:c r="E13" s="50"/>
      <x:c r="F13" s="50"/>
    </x:row>
    <x:row r="14" ht="42" customHeight="1">
      <x:c r="A14" s="117" t="str">
        <x:v>Conclusion sur l’efficacité</x:v>
      </x:c>
      <x:c r="B14" s="117"/>
      <x:c r="C14" s="50"/>
      <x:c r="D14" s="50"/>
      <x:c r="E14" s="50"/>
      <x:c r="F14" s="50"/>
    </x:row>
    <x:row r="15" ht="42" customHeight="1">
      <x:c r="A15" s="117" t="str">
        <x:v>Limites / informations encore manquantes</x:v>
      </x:c>
      <x:c r="B15" s="117"/>
      <x:c r="C15" s="50"/>
      <x:c r="D15" s="50"/>
      <x:c r="E15" s="50"/>
      <x:c r="F15" s="50"/>
    </x:row>
    <x:row r="16" ht="42" customHeight="1">
      <x:c r="A16" s="117" t="str">
        <x:v>Décision : généraliser / ajuster / arrêter / poursuivre le test</x:v>
      </x:c>
      <x:c r="B16" s="117"/>
      <x:c r="C16" s="50"/>
      <x:c r="D16" s="50"/>
      <x:c r="E16" s="50"/>
      <x:c r="F16" s="50"/>
    </x:row>
    <x:row r="17" ht="42" customHeight="1">
      <x:c r="A17" s="117" t="str">
        <x:v>Documents et preuves liés / emplacement</x:v>
      </x:c>
      <x:c r="B17" s="117"/>
      <x:c r="C17" s="50"/>
      <x:c r="D17" s="50"/>
      <x:c r="E17" s="50"/>
      <x:c r="F17" s="50"/>
    </x:row>
    <x:row r="18" ht="42" customHeight="1">
      <x:c r="A18" s="117" t="str">
        <x:v>Personne référente</x:v>
      </x:c>
      <x:c r="B18" s="117"/>
      <x:c r="C18" s="50"/>
      <x:c r="D18" s="50"/>
      <x:c r="E18" s="50"/>
      <x:c r="F18" s="50"/>
    </x:row>
    <x:row r="19" ht="42" customHeight="1">
      <x:c r="A19" s="117" t="str">
        <x:v>Date de réexamen</x:v>
      </x:c>
      <x:c r="B19" s="117"/>
      <x:c r="C19" s="50"/>
      <x:c r="D19" s="50"/>
      <x:c r="E19" s="50"/>
      <x:c r="F19" s="50"/>
    </x:row>
    <x:row r="20" ht="42" customHeight="1">
      <x:c r="A20" s="117" t="str">
        <x:v>Enseignement réutilisable pour un cas futur</x:v>
      </x:c>
      <x:c r="B20" s="117"/>
      <x:c r="C20" s="50"/>
      <x:c r="D20" s="50"/>
      <x:c r="E20" s="50"/>
      <x:c r="F20" s="50"/>
    </x:row>
  </x:sheetData>
  <x:mergeCells>
    <x:mergeCell ref="A1:F1"/>
    <x:mergeCell ref="A2:F2"/>
    <x:mergeCell ref="A4:B4"/>
    <x:mergeCell ref="C4:F4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A11:B11"/>
    <x:mergeCell ref="C11:F11"/>
    <x:mergeCell ref="A12:B12"/>
    <x:mergeCell ref="C12:F12"/>
    <x:mergeCell ref="A13:B13"/>
    <x:mergeCell ref="C13:F13"/>
    <x:mergeCell ref="A14:B14"/>
    <x:mergeCell ref="C14:F14"/>
    <x:mergeCell ref="A15:B15"/>
    <x:mergeCell ref="C15:F15"/>
    <x:mergeCell ref="A16:B16"/>
    <x:mergeCell ref="C16:F16"/>
    <x:mergeCell ref="A17:B17"/>
    <x:mergeCell ref="C17:F17"/>
    <x:mergeCell ref="A18:B18"/>
    <x:mergeCell ref="C18:F18"/>
    <x:mergeCell ref="A19:B19"/>
    <x:mergeCell ref="C19:F19"/>
    <x:mergeCell ref="A20:B20"/>
    <x:mergeCell ref="C20:F20"/>
  </x:mergeCells>
  <x:pageMargins left="0.7" right="0.7" top="0.75" bottom="0.75" header="0.3" footer="0.3"/>
</x:worksheet>
</file>