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yceehdf-my.sharepoint.com/personal/tcousin5_eduhdf_fr/Documents/Documents/2025-2026-CONDORCET/03-BTS GPME/01-GRCF-8H/1.1.Recherche de clientèle et de contact/1.1.CAS HEXA/Cas HEXA - Partie 2/"/>
    </mc:Choice>
  </mc:AlternateContent>
  <xr:revisionPtr revIDLastSave="4" documentId="8_{2AF7142A-1116-4B8B-91DE-8026F61C7529}" xr6:coauthVersionLast="47" xr6:coauthVersionMax="47" xr10:uidLastSave="{6624E2A5-6578-4485-80F4-3C5403ABB580}"/>
  <bookViews>
    <workbookView xWindow="-108" yWindow="-108" windowWidth="30936" windowHeight="16776" xr2:uid="{00000000-000D-0000-FFFF-FFFF00000000}"/>
  </bookViews>
  <sheets>
    <sheet name="Feuil1" sheetId="1" r:id="rId1"/>
    <sheet name="Feuil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</calcChain>
</file>

<file path=xl/sharedStrings.xml><?xml version="1.0" encoding="utf-8"?>
<sst xmlns="http://schemas.openxmlformats.org/spreadsheetml/2006/main" count="158" uniqueCount="122">
  <si>
    <t>Dénomination</t>
  </si>
  <si>
    <t>Forme Juridique</t>
  </si>
  <si>
    <t>Code APE</t>
  </si>
  <si>
    <t>Secteur d'activitÃ©</t>
  </si>
  <si>
    <t>Adresse</t>
  </si>
  <si>
    <t>Code postal</t>
  </si>
  <si>
    <t>Ville</t>
  </si>
  <si>
    <t>Num. dept.</t>
  </si>
  <si>
    <t>Département</t>
  </si>
  <si>
    <t>Région</t>
  </si>
  <si>
    <t>Responsable</t>
  </si>
  <si>
    <t>Courriel</t>
  </si>
  <si>
    <t>Téléphone</t>
  </si>
  <si>
    <t>Qualification au 28/11/2025</t>
  </si>
  <si>
    <t>Situation légale</t>
  </si>
  <si>
    <t>Annuaire entreprise (data gouv)</t>
  </si>
  <si>
    <t>MODERNE MARIAGE</t>
  </si>
  <si>
    <t>Societe par actions simplifiee  a associe unique et capital variable</t>
  </si>
  <si>
    <t>9329Z</t>
  </si>
  <si>
    <t>Autres activites recreatives et de loisirs</t>
  </si>
  <si>
    <t>4 ROUTE DE CORBEIL</t>
  </si>
  <si>
    <t>TIGERY</t>
  </si>
  <si>
    <t>Essonne</t>
  </si>
  <si>
    <t>Ile-de-France</t>
  </si>
  <si>
    <t>Florence BRUCATO</t>
  </si>
  <si>
    <t>contact@modernemariage.fr</t>
  </si>
  <si>
    <t>06 31 25 68 60</t>
  </si>
  <si>
    <t>Suspect</t>
  </si>
  <si>
    <t>EN SOMMEIL OU PRÉSUMÉE INACTIVE</t>
  </si>
  <si>
    <t>Société MODERNE MARIAGE (ATELIER VERT SAUGE) à 86360 MONTAMISE - SIREN 830 212 510 | L’Annuaire des Entreprises (data.gouv.fr)</t>
  </si>
  <si>
    <t>Sublim'Instant</t>
  </si>
  <si>
    <t>Societe par actions simplifiee</t>
  </si>
  <si>
    <t>4 B AVENUE JEAN JAURES</t>
  </si>
  <si>
    <t>CROSNE</t>
  </si>
  <si>
    <t>Charlotte GUILMONT</t>
  </si>
  <si>
    <t>contact@subliminstant.com</t>
  </si>
  <si>
    <t>06 99 69 95 35</t>
  </si>
  <si>
    <t>Prospect</t>
  </si>
  <si>
    <t>JOIE BONHEUR AGENCY</t>
  </si>
  <si>
    <t>Societe par actions simplifiee a associe unique</t>
  </si>
  <si>
    <t>149 B RUE GARIBALDI</t>
  </si>
  <si>
    <t>ST MAUR DES FOSSES</t>
  </si>
  <si>
    <t>Val-de-Marne</t>
  </si>
  <si>
    <t>Jennifer Allain</t>
  </si>
  <si>
    <t>jennifer@joie-bonheur.com</t>
  </si>
  <si>
    <t>06 82 96 37 68</t>
  </si>
  <si>
    <t>Contact</t>
  </si>
  <si>
    <t>PRESTIGE WEDDING</t>
  </si>
  <si>
    <t>3 ALLEE VAUBAN</t>
  </si>
  <si>
    <t>CHATILLON</t>
  </si>
  <si>
    <t>Hauts-de-Seine</t>
  </si>
  <si>
    <t>Leila NADJATI</t>
  </si>
  <si>
    <t>Client actuel</t>
  </si>
  <si>
    <t>LAURA Z ORGANISATION</t>
  </si>
  <si>
    <t>Société à responsabilité limitée</t>
  </si>
  <si>
    <t>19 Rue du Général Delestraint</t>
  </si>
  <si>
    <t>PARIS</t>
  </si>
  <si>
    <t>Paris</t>
  </si>
  <si>
    <t>Laurence ZABLOCKI</t>
  </si>
  <si>
    <t>contact@laura-z.fr</t>
  </si>
  <si>
    <t>06 32 64 37 27</t>
  </si>
  <si>
    <t>Ancien client</t>
  </si>
  <si>
    <t>WARIS EVENT</t>
  </si>
  <si>
    <t>78 B AVENUE HENRI BARBUSSE</t>
  </si>
  <si>
    <t>VALENTON</t>
  </si>
  <si>
    <t>Sokouana GARY</t>
  </si>
  <si>
    <t>contact@warisevent.fr</t>
  </si>
  <si>
    <t>06 11 52 06 30</t>
  </si>
  <si>
    <t>Perl'Evenements</t>
  </si>
  <si>
    <t>55 B RUE PIERRE ET MARIE CURIE</t>
  </si>
  <si>
    <t>GARGENVILLE</t>
  </si>
  <si>
    <t>Yvelines</t>
  </si>
  <si>
    <t>Vanessa LIPARDI</t>
  </si>
  <si>
    <t>vanessa.evenements@outlook.fr</t>
  </si>
  <si>
    <t>06 24 45 39 32</t>
  </si>
  <si>
    <t>PERLES D'EMOTIONS - LUCIE PETITPREZ (JAKSOVA)</t>
  </si>
  <si>
    <t>affaire personnelle profession libérale</t>
  </si>
  <si>
    <t>8230Z</t>
  </si>
  <si>
    <t>14 avenue de l’Opéra</t>
  </si>
  <si>
    <t>LUCIE PETITPREZ</t>
  </si>
  <si>
    <t>contact@perlesdemotions.com</t>
  </si>
  <si>
    <t>06 01 26 72 18</t>
  </si>
  <si>
    <t>Entreprise</t>
  </si>
  <si>
    <t>Évènements - E-mails</t>
  </si>
  <si>
    <t>Date d'envoi initiale</t>
  </si>
  <si>
    <t>1re relance si besoin</t>
  </si>
  <si>
    <t>2e et dernière relance</t>
  </si>
  <si>
    <t>Envoi d'un e-mail personnalisé au prospect un mardi matin à 10h</t>
  </si>
  <si>
    <t>Contact :</t>
  </si>
  <si>
    <t>- Le tracker permettra de savoir exactement quand l'émail sera ouvert par le prospect ;</t>
  </si>
  <si>
    <t>- Les taux d'ouverture des e-mails en B2B sont jusqu'à 24% plus élevé le mardi matin à 10h.</t>
  </si>
  <si>
    <t>Adresse :</t>
  </si>
  <si>
    <t xml:space="preserve">Date d'ouverture de l'e-mail </t>
  </si>
  <si>
    <t>Vérification les jours qui suivent</t>
  </si>
  <si>
    <t>Code Postal</t>
  </si>
  <si>
    <t>Date de clôture maximum, si pas d'ouverture de mail après envoi initial et relance</t>
  </si>
  <si>
    <t>Délai maximum, trois semaines après l'envoi du 1er e-mail.</t>
  </si>
  <si>
    <t>Évènements - Phoning</t>
  </si>
  <si>
    <t>Jour 1 - Appel initial matin</t>
  </si>
  <si>
    <t>Jour 1 - Nouvel appel après-midi</t>
  </si>
  <si>
    <t>Jour 2 - Nouvel appel matin</t>
  </si>
  <si>
    <t>Téléphone :</t>
  </si>
  <si>
    <t>Appel du prospect à la suite de l'ouverture de l'e-mail personnalisé</t>
  </si>
  <si>
    <t xml:space="preserve">- Appel le matin entre 8h et 9h et l'après-midi entre 16h et 17h pour de meilleurs résultats </t>
  </si>
  <si>
    <t>En cas de non réponse au(x) précédent(s) appel(s)</t>
  </si>
  <si>
    <t>Adresse mail :</t>
  </si>
  <si>
    <t>- Réitération de l'appel matin et après-midi, jusqu'à 3 jours de suite en cas de non réponse.</t>
  </si>
  <si>
    <t>Jour 2 - Nouvel appel après-midi</t>
  </si>
  <si>
    <t>Jour 3 - Nouvel appel matin</t>
  </si>
  <si>
    <t>Jour 3 - Nouvel appel après-midi</t>
  </si>
  <si>
    <t>Situation légale :</t>
  </si>
  <si>
    <t>Date de réponse à l'appel</t>
  </si>
  <si>
    <t>Annuaire entreprise :</t>
  </si>
  <si>
    <t>Date de clôture maximum en cas de non réponse 3 jours durant.</t>
  </si>
  <si>
    <t>Évènements - Classification prospect (si succès phoning)</t>
  </si>
  <si>
    <t>Prospect chaud</t>
  </si>
  <si>
    <t>Prospect tiède</t>
  </si>
  <si>
    <t>Prospect froid</t>
  </si>
  <si>
    <t>=si(G23=VRAI;"Texte1"; si(I23=VRAI;"Texte2";si(K23=VRAI;"Texte3";"")))</t>
  </si>
  <si>
    <t>Faire un menu déroulant à partir des sociétés</t>
  </si>
  <si>
    <t>utiliser la fonction RECHERCHEV</t>
  </si>
  <si>
    <t>=RECHERCHEV($C$2;Feuil1!A2:P9;5;FAUX)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</si>
</sst>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sz val="11"/>
      <color theme="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695240"/>
      <name val="Marianne"/>
      <charset val="1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0" fontId="6" fillId="0" borderId="0" xfId="6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6" borderId="0" xfId="5" applyFont="1" applyAlignment="1">
      <alignment horizontal="center" vertical="center"/>
    </xf>
    <xf numFmtId="0" fontId="0" fillId="8" borderId="0" xfId="0" applyFill="1"/>
    <xf numFmtId="0" fontId="7" fillId="6" borderId="0" xfId="5" applyFont="1" applyBorder="1" applyAlignment="1">
      <alignment horizontal="center" vertical="center"/>
    </xf>
    <xf numFmtId="0" fontId="7" fillId="6" borderId="0" xfId="5" applyFont="1" applyBorder="1" applyAlignment="1">
      <alignment horizontal="center" vertical="center" wrapText="1"/>
    </xf>
    <xf numFmtId="0" fontId="7" fillId="9" borderId="0" xfId="5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left"/>
    </xf>
    <xf numFmtId="0" fontId="9" fillId="9" borderId="0" xfId="0" applyFont="1" applyFill="1" applyAlignment="1">
      <alignment horizontal="left"/>
    </xf>
    <xf numFmtId="0" fontId="10" fillId="9" borderId="0" xfId="0" applyFont="1" applyFill="1"/>
    <xf numFmtId="14" fontId="10" fillId="7" borderId="0" xfId="0" applyNumberFormat="1" applyFont="1" applyFill="1" applyAlignment="1">
      <alignment horizontal="center" vertical="center"/>
    </xf>
    <xf numFmtId="14" fontId="10" fillId="9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left"/>
    </xf>
    <xf numFmtId="0" fontId="12" fillId="9" borderId="0" xfId="0" quotePrefix="1" applyFont="1" applyFill="1"/>
    <xf numFmtId="0" fontId="1" fillId="9" borderId="0" xfId="0" applyFont="1" applyFill="1" applyAlignment="1">
      <alignment horizontal="center" vertical="center"/>
    </xf>
    <xf numFmtId="0" fontId="1" fillId="9" borderId="0" xfId="0" applyFont="1" applyFill="1"/>
    <xf numFmtId="0" fontId="1" fillId="8" borderId="0" xfId="0" applyFont="1" applyFill="1"/>
    <xf numFmtId="0" fontId="0" fillId="0" borderId="0" xfId="0" applyAlignment="1">
      <alignment vertical="center"/>
    </xf>
    <xf numFmtId="0" fontId="11" fillId="10" borderId="0" xfId="0" applyFont="1" applyFill="1" applyAlignment="1">
      <alignment horizontal="left" vertical="center"/>
    </xf>
    <xf numFmtId="0" fontId="0" fillId="8" borderId="0" xfId="0" applyFill="1" applyAlignment="1">
      <alignment vertical="center"/>
    </xf>
    <xf numFmtId="0" fontId="10" fillId="9" borderId="0" xfId="0" applyFont="1" applyFill="1" applyAlignment="1">
      <alignment vertical="center"/>
    </xf>
    <xf numFmtId="14" fontId="10" fillId="10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12" fillId="9" borderId="0" xfId="0" applyFont="1" applyFill="1"/>
    <xf numFmtId="0" fontId="10" fillId="9" borderId="0" xfId="0" applyFont="1" applyFill="1" applyAlignment="1">
      <alignment vertical="center" wrapText="1"/>
    </xf>
    <xf numFmtId="14" fontId="10" fillId="11" borderId="0" xfId="0" applyNumberFormat="1" applyFont="1" applyFill="1" applyAlignment="1">
      <alignment horizontal="center" vertical="center"/>
    </xf>
    <xf numFmtId="14" fontId="1" fillId="9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7" fillId="12" borderId="1" xfId="4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/>
    </xf>
    <xf numFmtId="0" fontId="13" fillId="9" borderId="0" xfId="0" applyFont="1" applyFill="1" applyAlignment="1">
      <alignment horizontal="center" vertical="center"/>
    </xf>
    <xf numFmtId="0" fontId="13" fillId="9" borderId="0" xfId="0" applyFont="1" applyFill="1"/>
    <xf numFmtId="0" fontId="0" fillId="10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 vertical="center"/>
    </xf>
    <xf numFmtId="14" fontId="10" fillId="13" borderId="0" xfId="0" applyNumberFormat="1" applyFont="1" applyFill="1" applyAlignment="1">
      <alignment horizontal="center" vertical="center"/>
    </xf>
    <xf numFmtId="0" fontId="7" fillId="14" borderId="1" xfId="4" applyFont="1" applyFill="1" applyBorder="1" applyAlignment="1">
      <alignment horizontal="center" vertical="center"/>
    </xf>
    <xf numFmtId="0" fontId="2" fillId="2" borderId="0" xfId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1" applyAlignment="1">
      <alignment horizontal="center" vertical="center"/>
    </xf>
    <xf numFmtId="0" fontId="4" fillId="4" borderId="0" xfId="3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0" xfId="3" applyAlignment="1">
      <alignment horizontal="center" vertical="center"/>
    </xf>
    <xf numFmtId="0" fontId="3" fillId="3" borderId="0" xfId="2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2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7"/>
    <xf numFmtId="0" fontId="14" fillId="0" borderId="0" xfId="0" applyFont="1"/>
    <xf numFmtId="0" fontId="9" fillId="9" borderId="0" xfId="0" applyFont="1" applyFill="1" applyAlignment="1">
      <alignment horizontal="left" wrapText="1"/>
    </xf>
    <xf numFmtId="14" fontId="10" fillId="0" borderId="0" xfId="0" applyNumberFormat="1" applyFont="1"/>
    <xf numFmtId="0" fontId="0" fillId="0" borderId="0" xfId="0" quotePrefix="1"/>
    <xf numFmtId="0" fontId="12" fillId="9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wrapText="1"/>
    </xf>
  </cellXfs>
  <cellStyles count="8">
    <cellStyle name="Accent4" xfId="4" builtinId="41"/>
    <cellStyle name="Accent6" xfId="5" builtinId="49"/>
    <cellStyle name="Hyperlink" xfId="7" xr:uid="{00000000-000B-0000-0000-000008000000}"/>
    <cellStyle name="Insatisfaisant" xfId="2" builtinId="27"/>
    <cellStyle name="Lien hypertexte" xfId="6" builtinId="8"/>
    <cellStyle name="Neutre" xfId="3" builtinId="28"/>
    <cellStyle name="Normal" xfId="0" builtinId="0"/>
    <cellStyle name="Satisfaisant" xfId="1" builtinId="26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805E1C-67B8-4D42-A9EF-B82D41B56C1C}" name="Tableau1" displayName="Tableau1" ref="A1:P9" totalsRowShown="0" headerRowDxfId="0">
  <autoFilter ref="A1:P9" xr:uid="{66805E1C-67B8-4D42-A9EF-B82D41B56C1C}"/>
  <tableColumns count="16">
    <tableColumn id="1" xr3:uid="{A686C39C-3167-431F-A1AB-2FED70D81A06}" name="Dénomination"/>
    <tableColumn id="2" xr3:uid="{3D50300C-8C9F-494B-A378-9B01692B8523}" name="Forme Juridique"/>
    <tableColumn id="3" xr3:uid="{863EE2EF-70D2-4303-8592-C6B535A6681E}" name="Code APE"/>
    <tableColumn id="4" xr3:uid="{3179C98B-2451-41C9-B536-BAF1DCA31012}" name="Secteur d'activitÃ©"/>
    <tableColumn id="5" xr3:uid="{8342FF27-E691-40C9-BFDA-2C57FB13B093}" name="Adresse"/>
    <tableColumn id="6" xr3:uid="{7F6B5863-34D0-4650-8224-141C155A723D}" name="Code postal"/>
    <tableColumn id="7" xr3:uid="{78A372AF-6FC3-46F0-BF82-093D39BE7EDA}" name="Ville"/>
    <tableColumn id="8" xr3:uid="{60488962-9226-403F-BA49-8BDC90D941BF}" name="Num. dept."/>
    <tableColumn id="9" xr3:uid="{5CD98A05-3634-4C2F-AD27-30F7183B846E}" name="Département"/>
    <tableColumn id="10" xr3:uid="{D2AA709A-9290-4BBB-8883-244776DBCD61}" name="Région"/>
    <tableColumn id="11" xr3:uid="{DE70BC71-EB97-408D-A199-780EB072D30C}" name="Responsable"/>
    <tableColumn id="12" xr3:uid="{E03E6149-C4BB-4698-870F-668C1BAA3359}" name="Courriel"/>
    <tableColumn id="13" xr3:uid="{0225BB49-B8DE-4652-84C5-8FE8111900A3}" name="Téléphone"/>
    <tableColumn id="14" xr3:uid="{0C93736E-B262-4F5B-8FE3-5BF57BF0E2BD}" name="Qualification au 28/11/2025"/>
    <tableColumn id="15" xr3:uid="{F79DD2BE-D42A-4A69-BDFE-EE6701354311}" name="Situation légale"/>
    <tableColumn id="16" xr3:uid="{F67F4392-49AD-49E1-A168-910D22BBDACC}" name="Annuaire entreprise (data gouv)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annuaire-entreprises.data.gouv.fr/entreprise/moderne-mariage-atelier-vert-sauge-830212510" TargetMode="External"/><Relationship Id="rId1" Type="http://schemas.openxmlformats.org/officeDocument/2006/relationships/hyperlink" Target="mailto:jennifer@joie-bonhe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O25" sqref="O25"/>
    </sheetView>
  </sheetViews>
  <sheetFormatPr baseColWidth="10" defaultColWidth="8.88671875" defaultRowHeight="14.4"/>
  <cols>
    <col min="1" max="1" width="46.109375" bestFit="1" customWidth="1"/>
    <col min="2" max="2" width="58.44140625" bestFit="1" customWidth="1"/>
    <col min="3" max="3" width="11.44140625" bestFit="1" customWidth="1"/>
    <col min="4" max="4" width="35.109375" bestFit="1" customWidth="1"/>
    <col min="5" max="5" width="30.44140625" bestFit="1" customWidth="1"/>
    <col min="6" max="6" width="11.44140625" bestFit="1" customWidth="1"/>
    <col min="7" max="7" width="20.33203125" bestFit="1" customWidth="1"/>
    <col min="8" max="8" width="11.44140625" bestFit="1" customWidth="1"/>
    <col min="9" max="9" width="14.5546875" bestFit="1" customWidth="1"/>
    <col min="10" max="10" width="12.5546875" bestFit="1" customWidth="1"/>
    <col min="11" max="11" width="19.44140625" bestFit="1" customWidth="1"/>
    <col min="12" max="12" width="29.88671875" bestFit="1" customWidth="1"/>
    <col min="13" max="13" width="13.6640625" bestFit="1" customWidth="1"/>
    <col min="14" max="14" width="11.44140625" bestFit="1" customWidth="1"/>
    <col min="15" max="15" width="40.88671875" bestFit="1" customWidth="1"/>
    <col min="16" max="16" width="120.6640625" bestFit="1" customWidth="1"/>
    <col min="19" max="19" width="9.109375" hidden="1" customWidth="1"/>
  </cols>
  <sheetData>
    <row r="1" spans="1:19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91250</v>
      </c>
      <c r="G2" t="s">
        <v>21</v>
      </c>
      <c r="H2">
        <v>91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55" t="s">
        <v>28</v>
      </c>
      <c r="P2" s="54" t="s">
        <v>29</v>
      </c>
      <c r="S2" t="s">
        <v>27</v>
      </c>
    </row>
    <row r="3" spans="1:19">
      <c r="A3" t="s">
        <v>30</v>
      </c>
      <c r="B3" t="s">
        <v>31</v>
      </c>
      <c r="C3" t="s">
        <v>18</v>
      </c>
      <c r="D3" t="s">
        <v>19</v>
      </c>
      <c r="E3" t="s">
        <v>32</v>
      </c>
      <c r="F3">
        <v>91560</v>
      </c>
      <c r="G3" t="s">
        <v>33</v>
      </c>
      <c r="H3">
        <v>91</v>
      </c>
      <c r="I3" t="s">
        <v>22</v>
      </c>
      <c r="J3" t="s">
        <v>23</v>
      </c>
      <c r="K3" t="s">
        <v>34</v>
      </c>
      <c r="L3" t="s">
        <v>35</v>
      </c>
      <c r="M3" t="s">
        <v>36</v>
      </c>
      <c r="N3" t="s">
        <v>27</v>
      </c>
      <c r="P3" s="2"/>
      <c r="S3" t="s">
        <v>37</v>
      </c>
    </row>
    <row r="4" spans="1:19">
      <c r="A4" t="s">
        <v>38</v>
      </c>
      <c r="B4" t="s">
        <v>39</v>
      </c>
      <c r="C4" t="s">
        <v>18</v>
      </c>
      <c r="D4" t="s">
        <v>19</v>
      </c>
      <c r="E4" t="s">
        <v>40</v>
      </c>
      <c r="F4">
        <v>94100</v>
      </c>
      <c r="G4" t="s">
        <v>41</v>
      </c>
      <c r="H4">
        <v>94</v>
      </c>
      <c r="I4" t="s">
        <v>42</v>
      </c>
      <c r="J4" t="s">
        <v>23</v>
      </c>
      <c r="K4" t="s">
        <v>43</v>
      </c>
      <c r="L4" t="s">
        <v>44</v>
      </c>
      <c r="M4" t="s">
        <v>45</v>
      </c>
      <c r="N4" t="s">
        <v>27</v>
      </c>
      <c r="P4" s="2"/>
      <c r="S4" t="s">
        <v>46</v>
      </c>
    </row>
    <row r="5" spans="1:19">
      <c r="A5" t="s">
        <v>47</v>
      </c>
      <c r="B5" t="s">
        <v>39</v>
      </c>
      <c r="C5" t="s">
        <v>18</v>
      </c>
      <c r="D5" t="s">
        <v>19</v>
      </c>
      <c r="E5" t="s">
        <v>48</v>
      </c>
      <c r="F5">
        <v>92320</v>
      </c>
      <c r="G5" t="s">
        <v>49</v>
      </c>
      <c r="H5">
        <v>92</v>
      </c>
      <c r="I5" t="s">
        <v>50</v>
      </c>
      <c r="J5" t="s">
        <v>23</v>
      </c>
      <c r="K5" t="s">
        <v>51</v>
      </c>
      <c r="N5" t="s">
        <v>27</v>
      </c>
      <c r="P5" s="2"/>
      <c r="S5" t="s">
        <v>52</v>
      </c>
    </row>
    <row r="6" spans="1:19">
      <c r="A6" t="s">
        <v>53</v>
      </c>
      <c r="B6" t="s">
        <v>54</v>
      </c>
      <c r="C6" t="s">
        <v>18</v>
      </c>
      <c r="D6" t="s">
        <v>19</v>
      </c>
      <c r="E6" t="s">
        <v>55</v>
      </c>
      <c r="F6">
        <v>75016</v>
      </c>
      <c r="G6" t="s">
        <v>56</v>
      </c>
      <c r="H6">
        <v>75</v>
      </c>
      <c r="I6" t="s">
        <v>57</v>
      </c>
      <c r="J6" t="s">
        <v>23</v>
      </c>
      <c r="K6" t="s">
        <v>58</v>
      </c>
      <c r="L6" t="s">
        <v>59</v>
      </c>
      <c r="M6" t="s">
        <v>60</v>
      </c>
      <c r="N6" t="s">
        <v>27</v>
      </c>
      <c r="P6" s="2"/>
      <c r="S6" t="s">
        <v>61</v>
      </c>
    </row>
    <row r="7" spans="1:19">
      <c r="A7" t="s">
        <v>62</v>
      </c>
      <c r="B7" t="s">
        <v>39</v>
      </c>
      <c r="C7" t="s">
        <v>18</v>
      </c>
      <c r="D7" t="s">
        <v>19</v>
      </c>
      <c r="E7" t="s">
        <v>63</v>
      </c>
      <c r="F7">
        <v>94460</v>
      </c>
      <c r="G7" t="s">
        <v>64</v>
      </c>
      <c r="H7">
        <v>94</v>
      </c>
      <c r="I7" t="s">
        <v>42</v>
      </c>
      <c r="J7" t="s">
        <v>23</v>
      </c>
      <c r="K7" t="s">
        <v>65</v>
      </c>
      <c r="L7" t="s">
        <v>66</v>
      </c>
      <c r="M7" t="s">
        <v>67</v>
      </c>
      <c r="N7" t="s">
        <v>27</v>
      </c>
      <c r="P7" s="2"/>
    </row>
    <row r="8" spans="1:19">
      <c r="A8" t="s">
        <v>68</v>
      </c>
      <c r="B8" t="s">
        <v>31</v>
      </c>
      <c r="C8" t="s">
        <v>18</v>
      </c>
      <c r="D8" t="s">
        <v>19</v>
      </c>
      <c r="E8" t="s">
        <v>69</v>
      </c>
      <c r="F8">
        <v>78440</v>
      </c>
      <c r="G8" t="s">
        <v>70</v>
      </c>
      <c r="H8">
        <v>78</v>
      </c>
      <c r="I8" t="s">
        <v>71</v>
      </c>
      <c r="J8" t="s">
        <v>23</v>
      </c>
      <c r="K8" t="s">
        <v>72</v>
      </c>
      <c r="L8" t="s">
        <v>73</v>
      </c>
      <c r="M8" t="s">
        <v>74</v>
      </c>
      <c r="N8" t="s">
        <v>27</v>
      </c>
      <c r="P8" s="2"/>
    </row>
    <row r="9" spans="1:19">
      <c r="A9" t="s">
        <v>75</v>
      </c>
      <c r="B9" t="s">
        <v>76</v>
      </c>
      <c r="C9" t="s">
        <v>77</v>
      </c>
      <c r="D9" t="s">
        <v>19</v>
      </c>
      <c r="E9" t="s">
        <v>78</v>
      </c>
      <c r="F9">
        <v>75016</v>
      </c>
      <c r="G9" t="s">
        <v>56</v>
      </c>
      <c r="H9">
        <v>75</v>
      </c>
      <c r="I9" t="s">
        <v>57</v>
      </c>
      <c r="J9" t="s">
        <v>23</v>
      </c>
      <c r="K9" t="s">
        <v>79</v>
      </c>
      <c r="L9" t="s">
        <v>80</v>
      </c>
      <c r="M9" t="s">
        <v>81</v>
      </c>
      <c r="N9" t="s">
        <v>27</v>
      </c>
      <c r="P9" s="2"/>
    </row>
  </sheetData>
  <dataValidations count="1">
    <dataValidation type="list" allowBlank="1" showInputMessage="1" showErrorMessage="1" sqref="N2:N9" xr:uid="{EF546755-AAD6-48A0-93D0-A1F715A17A49}">
      <formula1>$S$2:$S$6</formula1>
    </dataValidation>
  </dataValidations>
  <hyperlinks>
    <hyperlink ref="L4" r:id="rId1" display="mailto:jennifer@joie-bonheur.com" xr:uid="{380DAF20-4612-42AE-A7C7-93956BBFECEB}"/>
    <hyperlink ref="P2" r:id="rId2" xr:uid="{0159865C-C7B6-4226-8BC8-374455A102FB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ACA8-2D98-4D2E-B3C4-3277D0CA7E8F}">
  <dimension ref="A1:L27"/>
  <sheetViews>
    <sheetView workbookViewId="0">
      <selection activeCell="C11" sqref="C11:D11"/>
    </sheetView>
  </sheetViews>
  <sheetFormatPr baseColWidth="10" defaultColWidth="8.88671875" defaultRowHeight="14.4"/>
  <cols>
    <col min="2" max="2" width="19.88671875" bestFit="1" customWidth="1"/>
    <col min="3" max="3" width="25.6640625" style="1" customWidth="1"/>
    <col min="4" max="4" width="25.6640625" customWidth="1"/>
    <col min="6" max="6" width="80.109375" bestFit="1" customWidth="1"/>
    <col min="7" max="7" width="5.88671875" bestFit="1" customWidth="1"/>
    <col min="8" max="8" width="14.6640625" bestFit="1" customWidth="1"/>
    <col min="9" max="9" width="5.33203125" bestFit="1" customWidth="1"/>
    <col min="10" max="10" width="13.88671875" bestFit="1" customWidth="1"/>
    <col min="11" max="11" width="5.88671875" bestFit="1" customWidth="1"/>
    <col min="12" max="12" width="13.5546875" bestFit="1" customWidth="1"/>
  </cols>
  <sheetData>
    <row r="1" spans="1:12">
      <c r="B1" s="3"/>
      <c r="F1" s="4"/>
      <c r="G1" s="4"/>
    </row>
    <row r="2" spans="1:12" ht="28.8">
      <c r="B2" s="5" t="s">
        <v>82</v>
      </c>
      <c r="C2" s="60" t="s">
        <v>119</v>
      </c>
      <c r="D2" s="60"/>
      <c r="E2" s="6"/>
      <c r="F2" s="7" t="s">
        <v>83</v>
      </c>
      <c r="G2" s="9"/>
      <c r="H2" s="8" t="s">
        <v>84</v>
      </c>
      <c r="I2" s="9"/>
      <c r="J2" s="8" t="s">
        <v>85</v>
      </c>
      <c r="K2" s="9"/>
      <c r="L2" s="8" t="s">
        <v>86</v>
      </c>
    </row>
    <row r="3" spans="1:12" ht="15.6">
      <c r="B3" s="10"/>
      <c r="C3" s="56"/>
      <c r="D3" s="11"/>
      <c r="E3" s="6"/>
      <c r="F3" s="12" t="s">
        <v>87</v>
      </c>
      <c r="G3" s="14"/>
      <c r="H3" s="13"/>
      <c r="I3" s="14"/>
      <c r="J3" s="13"/>
      <c r="L3" s="57"/>
    </row>
    <row r="4" spans="1:12" ht="15.6">
      <c r="B4" s="15" t="s">
        <v>88</v>
      </c>
      <c r="C4" s="61" t="s">
        <v>120</v>
      </c>
      <c r="D4" s="61"/>
      <c r="E4" s="6"/>
      <c r="F4" s="16" t="s">
        <v>89</v>
      </c>
      <c r="G4" s="17"/>
      <c r="H4" s="18"/>
      <c r="I4" s="18"/>
      <c r="J4" s="18"/>
    </row>
    <row r="5" spans="1:12" ht="15.6">
      <c r="B5" s="15"/>
      <c r="C5" s="61"/>
      <c r="D5" s="61"/>
      <c r="E5" s="6"/>
      <c r="F5" s="16" t="s">
        <v>90</v>
      </c>
      <c r="G5" s="17"/>
      <c r="H5" s="17"/>
      <c r="I5" s="17"/>
      <c r="J5" s="19"/>
      <c r="K5" s="19"/>
      <c r="L5" s="19"/>
    </row>
    <row r="6" spans="1:12" ht="15.6">
      <c r="A6" s="20"/>
      <c r="B6" s="21" t="s">
        <v>91</v>
      </c>
      <c r="C6" s="63" t="s">
        <v>121</v>
      </c>
      <c r="D6" s="61"/>
      <c r="E6" s="22"/>
      <c r="F6" s="23" t="s">
        <v>92</v>
      </c>
      <c r="G6" s="17"/>
      <c r="H6" s="24"/>
      <c r="I6" s="17"/>
      <c r="J6" s="25"/>
      <c r="K6" s="25"/>
      <c r="L6" s="25"/>
    </row>
    <row r="7" spans="1:12" ht="15.6">
      <c r="B7" s="15"/>
      <c r="C7" s="61"/>
      <c r="D7" s="61"/>
      <c r="E7" s="6"/>
      <c r="F7" s="26" t="s">
        <v>93</v>
      </c>
      <c r="G7" s="17"/>
      <c r="H7" s="17"/>
      <c r="I7" s="17"/>
      <c r="J7" s="19"/>
      <c r="K7" s="19"/>
      <c r="L7" s="19"/>
    </row>
    <row r="8" spans="1:12" ht="15.6">
      <c r="B8" s="15" t="s">
        <v>94</v>
      </c>
      <c r="C8" s="61"/>
      <c r="D8" s="61"/>
      <c r="E8" s="6"/>
      <c r="F8" s="27" t="s">
        <v>95</v>
      </c>
      <c r="G8" s="29"/>
      <c r="H8" s="28"/>
      <c r="I8" s="29"/>
      <c r="J8" s="19"/>
      <c r="K8" s="19"/>
      <c r="L8" s="19"/>
    </row>
    <row r="9" spans="1:12" ht="15.6">
      <c r="B9" s="15"/>
      <c r="C9" s="61"/>
      <c r="D9" s="61"/>
      <c r="E9" s="6"/>
      <c r="F9" s="16" t="s">
        <v>96</v>
      </c>
      <c r="G9" s="17"/>
      <c r="H9" s="17"/>
      <c r="I9" s="17"/>
      <c r="J9" s="19"/>
      <c r="K9" s="19"/>
      <c r="L9" s="19"/>
    </row>
    <row r="10" spans="1:12" ht="15.6">
      <c r="B10" s="15" t="s">
        <v>6</v>
      </c>
      <c r="C10" s="61"/>
      <c r="D10" s="61"/>
      <c r="E10" s="6"/>
      <c r="F10" s="19"/>
      <c r="G10" s="30"/>
      <c r="H10" s="19"/>
      <c r="I10" s="19"/>
      <c r="J10" s="19"/>
    </row>
    <row r="11" spans="1:12" ht="43.2">
      <c r="B11" s="15"/>
      <c r="C11" s="61"/>
      <c r="D11" s="61"/>
      <c r="E11" s="6"/>
      <c r="F11" s="31" t="s">
        <v>97</v>
      </c>
      <c r="G11" s="33"/>
      <c r="H11" s="32" t="s">
        <v>98</v>
      </c>
      <c r="I11" s="33"/>
      <c r="J11" s="32" t="s">
        <v>99</v>
      </c>
      <c r="K11" s="34"/>
      <c r="L11" s="32" t="s">
        <v>100</v>
      </c>
    </row>
    <row r="12" spans="1:12" ht="15.6">
      <c r="A12" s="4"/>
      <c r="B12" s="21" t="s">
        <v>101</v>
      </c>
      <c r="C12" s="62"/>
      <c r="D12" s="62"/>
      <c r="E12" s="35"/>
      <c r="F12" s="36" t="s">
        <v>102</v>
      </c>
      <c r="G12" s="37"/>
      <c r="H12" s="24"/>
      <c r="I12" s="37"/>
      <c r="J12" s="13"/>
      <c r="K12" s="37"/>
      <c r="L12" s="13"/>
    </row>
    <row r="13" spans="1:12" ht="15.6">
      <c r="B13" s="15"/>
      <c r="C13" s="62"/>
      <c r="D13" s="62"/>
      <c r="E13" s="6"/>
      <c r="F13" s="16" t="s">
        <v>103</v>
      </c>
      <c r="G13" s="52"/>
      <c r="H13" s="59" t="s">
        <v>104</v>
      </c>
      <c r="I13" s="59"/>
      <c r="J13" s="59"/>
      <c r="K13" s="59"/>
      <c r="L13" s="59"/>
    </row>
    <row r="14" spans="1:12" ht="15.6">
      <c r="B14" s="15" t="s">
        <v>105</v>
      </c>
      <c r="C14" s="62"/>
      <c r="D14" s="62"/>
      <c r="E14" s="6"/>
      <c r="F14" s="16" t="s">
        <v>106</v>
      </c>
      <c r="G14" s="52"/>
      <c r="H14" s="59"/>
      <c r="I14" s="59"/>
      <c r="J14" s="59"/>
      <c r="K14" s="59"/>
      <c r="L14" s="59"/>
    </row>
    <row r="15" spans="1:12" ht="43.2">
      <c r="B15" s="38"/>
      <c r="C15" s="62"/>
      <c r="D15" s="62"/>
      <c r="E15" s="6"/>
      <c r="F15" s="18"/>
      <c r="G15" s="39"/>
      <c r="H15" s="32" t="s">
        <v>107</v>
      </c>
      <c r="I15" s="39"/>
      <c r="J15" s="32" t="s">
        <v>108</v>
      </c>
      <c r="K15" s="40"/>
      <c r="L15" s="32" t="s">
        <v>109</v>
      </c>
    </row>
    <row r="16" spans="1:12">
      <c r="B16" s="38" t="s">
        <v>110</v>
      </c>
      <c r="C16" s="62"/>
      <c r="D16" s="62"/>
      <c r="E16" s="6"/>
      <c r="F16" s="18"/>
      <c r="G16" s="37"/>
      <c r="H16" s="13"/>
      <c r="I16" s="37"/>
      <c r="J16" s="13"/>
      <c r="K16" s="37"/>
      <c r="L16" s="13"/>
    </row>
    <row r="17" spans="2:12">
      <c r="B17" s="41"/>
      <c r="C17" s="62"/>
      <c r="D17" s="62"/>
      <c r="E17" s="6"/>
      <c r="F17" s="42"/>
      <c r="G17" s="43"/>
      <c r="H17" s="42"/>
      <c r="I17" s="42"/>
      <c r="J17" s="42"/>
    </row>
    <row r="18" spans="2:12">
      <c r="B18" s="41"/>
      <c r="C18" s="62"/>
      <c r="D18" s="62"/>
      <c r="E18" s="6"/>
      <c r="F18" s="23" t="s">
        <v>111</v>
      </c>
      <c r="G18" s="17"/>
      <c r="H18" s="44"/>
      <c r="I18" s="17"/>
      <c r="J18" s="19"/>
      <c r="K18" s="19"/>
      <c r="L18" s="19"/>
    </row>
    <row r="19" spans="2:12" ht="15.75" customHeight="1">
      <c r="B19" s="38" t="s">
        <v>112</v>
      </c>
      <c r="C19" s="62"/>
      <c r="D19" s="62"/>
      <c r="E19" s="6"/>
      <c r="F19" s="18"/>
      <c r="G19" s="17"/>
      <c r="H19" s="17"/>
      <c r="I19" s="17"/>
      <c r="J19" s="19"/>
      <c r="K19" s="19"/>
      <c r="L19" s="19"/>
    </row>
    <row r="20" spans="2:12" ht="15.75" customHeight="1">
      <c r="B20" s="41"/>
      <c r="C20" s="62"/>
      <c r="D20" s="62"/>
      <c r="E20" s="6"/>
      <c r="F20" s="23" t="s">
        <v>113</v>
      </c>
      <c r="G20" s="17"/>
      <c r="H20" s="28"/>
      <c r="I20" s="17"/>
      <c r="J20" s="19"/>
      <c r="K20" s="19"/>
      <c r="L20" s="19"/>
    </row>
    <row r="21" spans="2:12" ht="15.75" customHeight="1">
      <c r="B21" s="41"/>
      <c r="C21" s="62"/>
      <c r="D21" s="62"/>
      <c r="E21" s="6"/>
      <c r="F21" s="18"/>
      <c r="G21" s="17"/>
      <c r="H21" s="17"/>
      <c r="I21" s="17"/>
      <c r="J21" s="19"/>
      <c r="K21" s="19"/>
      <c r="L21" s="19"/>
    </row>
    <row r="22" spans="2:12" ht="15.75" customHeight="1">
      <c r="B22" s="41"/>
      <c r="C22" s="62"/>
      <c r="D22" s="62"/>
      <c r="E22" s="6"/>
      <c r="F22" s="6"/>
      <c r="G22" s="35"/>
      <c r="H22" s="6"/>
      <c r="I22" s="6"/>
      <c r="J22" s="6"/>
    </row>
    <row r="23" spans="2:12" ht="15.75" customHeight="1">
      <c r="B23" s="41"/>
      <c r="C23" s="62"/>
      <c r="D23" s="62"/>
      <c r="E23" s="6"/>
      <c r="F23" s="45" t="s">
        <v>114</v>
      </c>
      <c r="G23" s="46" t="b">
        <v>1</v>
      </c>
      <c r="H23" s="47" t="s">
        <v>115</v>
      </c>
      <c r="I23" s="48" t="b">
        <v>0</v>
      </c>
      <c r="J23" s="49" t="s">
        <v>116</v>
      </c>
      <c r="K23" s="50" t="b">
        <v>0</v>
      </c>
      <c r="L23" s="51" t="s">
        <v>117</v>
      </c>
    </row>
    <row r="24" spans="2:12" ht="15.75" customHeight="1">
      <c r="B24" s="41"/>
      <c r="C24" s="62"/>
      <c r="D24" s="62"/>
      <c r="E24" s="6"/>
      <c r="F24" s="53" t="str">
        <f>IF(G23=TRUE,"Texte1",IF(I23=TRUE,"Texte2",IF(K23=TRUE,"Texte3","")))</f>
        <v>Texte1</v>
      </c>
      <c r="G24" s="53"/>
      <c r="H24" s="53"/>
      <c r="I24" s="53"/>
      <c r="J24" s="53"/>
    </row>
    <row r="25" spans="2:12">
      <c r="B25" s="3"/>
      <c r="F25" s="4"/>
      <c r="G25" s="4"/>
    </row>
    <row r="27" spans="2:12">
      <c r="F27" s="58" t="s">
        <v>118</v>
      </c>
    </row>
  </sheetData>
  <mergeCells count="14">
    <mergeCell ref="C19:D24"/>
    <mergeCell ref="C16:D18"/>
    <mergeCell ref="C12:D13"/>
    <mergeCell ref="C14:D15"/>
    <mergeCell ref="H13:L14"/>
    <mergeCell ref="C2:D2"/>
    <mergeCell ref="C5:D5"/>
    <mergeCell ref="C6:D6"/>
    <mergeCell ref="C8:D8"/>
    <mergeCell ref="C10:D10"/>
    <mergeCell ref="C7:D7"/>
    <mergeCell ref="C9:D9"/>
    <mergeCell ref="C11:D11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Thibaud Cousin</dc:creator>
  <cp:keywords/>
  <dc:description/>
  <cp:lastModifiedBy>THIBAUD COUSIN</cp:lastModifiedBy>
  <cp:revision/>
  <dcterms:created xsi:type="dcterms:W3CDTF">2025-12-02T10:17:16Z</dcterms:created>
  <dcterms:modified xsi:type="dcterms:W3CDTF">2025-12-08T13:09:24Z</dcterms:modified>
  <cp:category/>
  <cp:contentStatus/>
</cp:coreProperties>
</file>