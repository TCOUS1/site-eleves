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yceehdf-my.sharepoint.com/personal/tcousin5_eduhdf_fr/Documents/Documents/2025-2026-CONDORCET/04-BTS GPME/01-GRCF-8H/EXCEL/"/>
    </mc:Choice>
  </mc:AlternateContent>
  <xr:revisionPtr revIDLastSave="0" documentId="8_{2305B004-A4B2-4187-B4E3-66B92949E473}" xr6:coauthVersionLast="47" xr6:coauthVersionMax="47" xr10:uidLastSave="{00000000-0000-0000-0000-000000000000}"/>
  <bookViews>
    <workbookView xWindow="25490" yWindow="-110" windowWidth="25820" windowHeight="13900" xr2:uid="{6D240F8B-889C-451F-A35F-5A786E225C33}"/>
  </bookViews>
  <sheets>
    <sheet name="Fichier au format csv" sheetId="1" r:id="rId1"/>
  </sheets>
  <calcPr calcId="0"/>
</workbook>
</file>

<file path=xl/calcChain.xml><?xml version="1.0" encoding="utf-8"?>
<calcChain xmlns="http://schemas.openxmlformats.org/spreadsheetml/2006/main">
  <c r="N2" i="1" l="1"/>
  <c r="N3" i="1"/>
  <c r="N4" i="1"/>
  <c r="O5" i="1" s="1"/>
  <c r="N5" i="1"/>
  <c r="O4" i="1" l="1"/>
  <c r="O3" i="1"/>
</calcChain>
</file>

<file path=xl/sharedStrings.xml><?xml version="1.0" encoding="utf-8"?>
<sst xmlns="http://schemas.openxmlformats.org/spreadsheetml/2006/main" count="15" uniqueCount="15">
  <si>
    <t>Année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</si>
  <si>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</si>
  <si>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</si>
  <si>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</si>
  <si>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</si>
  <si>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</si>
  <si>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</si>
  <si>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</si>
  <si>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</si>
  <si>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</si>
  <si>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</si>
  <si>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</si>
  <si>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</si>
  <si>
    <t>Total</t>
  </si>
  <si>
    <t>Évolution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</si>
</sst>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D0B900-6FF6-4524-AA60-610CA5C34EAC}" name="Tableau1" displayName="Tableau1" ref="A1:O5" totalsRowShown="0">
  <autoFilter ref="A1:O5" xr:uid="{81D0B900-6FF6-4524-AA60-610CA5C34EAC}"/>
  <tableColumns count="15">
    <tableColumn id="1" xr3:uid="{72CB83A2-7AB6-484E-A6E9-EF84E87C706B}" name="Année"/>
    <tableColumn id="2" xr3:uid="{99CA19B5-BB79-4C44-9BA7-894AFCBF7348}" name="Jan"/>
    <tableColumn id="3" xr3:uid="{AA8DD08C-4C9D-47C6-A5E9-6E7E3EEBD384}" name="Fév"/>
    <tableColumn id="4" xr3:uid="{CB77E289-9D85-48FE-AF8C-07F7D66AD27B}" name="Mar"/>
    <tableColumn id="5" xr3:uid="{E5032950-3B33-4959-8F33-BDAF43C22559}" name="Avr"/>
    <tableColumn id="6" xr3:uid="{C704808B-4C48-40A5-9A71-2AE61A2263DB}" name="Mai"/>
    <tableColumn id="7" xr3:uid="{783FC160-F266-408A-B832-51D7E08B4135}" name="Juin"/>
    <tableColumn id="8" xr3:uid="{6A339DDE-C04B-4084-BAA5-220A1D7A774B}" name="Juil"/>
    <tableColumn id="9" xr3:uid="{618A9860-BAE1-4A0D-89DF-0F09A6091E15}" name="Août"/>
    <tableColumn id="10" xr3:uid="{3631F1B9-3B26-4466-9088-044625ED5456}" name="Sep"/>
    <tableColumn id="11" xr3:uid="{5CF9B069-66B1-4E01-AB78-18C56867ED4C}" name="Oct"/>
    <tableColumn id="12" xr3:uid="{4EEA1864-10A7-4A30-A5D0-A882C8E229FC}" name="Nov"/>
    <tableColumn id="13" xr3:uid="{9B784AC6-7B81-440C-BBB2-F07B40F30860}" name="Déc"/>
    <tableColumn id="14" xr3:uid="{B4794B25-76A1-42AC-B9B3-A6D31DD4DE99}" name="Total" dataDxfId="1">
      <calculatedColumnFormula>SUM(Tableau1[[#This Row],[Jan]:[Déc]])</calculatedColumnFormula>
    </tableColumn>
    <tableColumn id="15" xr3:uid="{CFE10EB3-65B0-4CC0-97DA-D12D2EA0A173}" name="Évolution" dataDxfId="0">
      <calculatedColumnFormula>(Tableau1[[#This Row],[Total]]-N1)/N1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BD44-45BC-46D9-BD66-5647E0A67FD7}">
  <dimension ref="A1:O5"/>
  <sheetViews>
    <sheetView tabSelected="1" workbookViewId="0">
      <selection activeCell="Q10" sqref="Q10"/>
    </sheetView>
  </sheetViews>
  <sheetFormatPr baseColWidth="10" defaultRowHeight="14.5" x14ac:dyDescent="0.35"/>
  <cols>
    <col min="2" max="13" width="0" hidden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2022</v>
      </c>
      <c r="B2">
        <v>120</v>
      </c>
      <c r="C2">
        <v>130</v>
      </c>
      <c r="D2">
        <v>180</v>
      </c>
      <c r="E2">
        <v>250</v>
      </c>
      <c r="F2">
        <v>320</v>
      </c>
      <c r="G2">
        <v>400</v>
      </c>
      <c r="H2">
        <v>550</v>
      </c>
      <c r="I2">
        <v>530</v>
      </c>
      <c r="J2">
        <v>300</v>
      </c>
      <c r="K2">
        <v>220</v>
      </c>
      <c r="L2">
        <v>270</v>
      </c>
      <c r="M2">
        <v>500</v>
      </c>
      <c r="N2">
        <f>SUM(Tableau1[[#This Row],[Jan]:[Déc]])</f>
        <v>3770</v>
      </c>
    </row>
    <row r="3" spans="1:15" x14ac:dyDescent="0.35">
      <c r="A3">
        <v>2023</v>
      </c>
      <c r="B3">
        <v>125</v>
      </c>
      <c r="C3">
        <v>135</v>
      </c>
      <c r="D3">
        <v>190</v>
      </c>
      <c r="E3">
        <v>260</v>
      </c>
      <c r="F3">
        <v>330</v>
      </c>
      <c r="G3">
        <v>410</v>
      </c>
      <c r="H3">
        <v>570</v>
      </c>
      <c r="I3">
        <v>540</v>
      </c>
      <c r="J3">
        <v>310</v>
      </c>
      <c r="K3">
        <v>230</v>
      </c>
      <c r="L3">
        <v>280</v>
      </c>
      <c r="M3">
        <v>520</v>
      </c>
      <c r="N3">
        <f>SUM(Tableau1[[#This Row],[Jan]:[Déc]])</f>
        <v>3900</v>
      </c>
      <c r="O3" s="1">
        <f>(Tableau1[[#This Row],[Total]]-N2)/N2</f>
        <v>3.4482758620689655E-2</v>
      </c>
    </row>
    <row r="4" spans="1:15" x14ac:dyDescent="0.35">
      <c r="A4">
        <v>2024</v>
      </c>
      <c r="B4">
        <v>130</v>
      </c>
      <c r="C4">
        <v>140</v>
      </c>
      <c r="D4">
        <v>200</v>
      </c>
      <c r="E4">
        <v>270</v>
      </c>
      <c r="F4">
        <v>340</v>
      </c>
      <c r="G4">
        <v>420</v>
      </c>
      <c r="H4">
        <v>590</v>
      </c>
      <c r="I4">
        <v>560</v>
      </c>
      <c r="J4">
        <v>320</v>
      </c>
      <c r="K4">
        <v>240</v>
      </c>
      <c r="L4">
        <v>290</v>
      </c>
      <c r="M4">
        <v>540</v>
      </c>
      <c r="N4">
        <f>SUM(Tableau1[[#This Row],[Jan]:[Déc]])</f>
        <v>4040</v>
      </c>
      <c r="O4" s="1">
        <f>(Tableau1[[#This Row],[Total]]-N3)/N3</f>
        <v>3.5897435897435895E-2</v>
      </c>
    </row>
    <row r="5" spans="1:15" x14ac:dyDescent="0.35">
      <c r="A5">
        <v>2025</v>
      </c>
      <c r="B5">
        <v>135</v>
      </c>
      <c r="C5">
        <v>145</v>
      </c>
      <c r="D5">
        <v>210</v>
      </c>
      <c r="E5">
        <v>280</v>
      </c>
      <c r="F5">
        <v>350</v>
      </c>
      <c r="G5">
        <v>430</v>
      </c>
      <c r="H5">
        <v>610</v>
      </c>
      <c r="I5">
        <v>580</v>
      </c>
      <c r="J5">
        <v>330</v>
      </c>
      <c r="K5">
        <v>250</v>
      </c>
      <c r="L5">
        <v>300</v>
      </c>
      <c r="M5">
        <v>560</v>
      </c>
      <c r="N5">
        <f>SUM(Tableau1[[#This Row],[Jan]:[Déc]])</f>
        <v>4180</v>
      </c>
      <c r="O5" s="1">
        <f>(Tableau1[[#This Row],[Total]]-N4)/N4</f>
        <v>3.4653465346534656E-2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Fichier au format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THIBAUD COUSIN</cp:lastModifiedBy>
  <dcterms:created xsi:type="dcterms:W3CDTF">2026-05-01T17:53:38Z</dcterms:created>
  <dcterms:modified xsi:type="dcterms:W3CDTF">2026-05-01T17:53:38Z</dcterms:modified>
</cp:coreProperties>
</file>