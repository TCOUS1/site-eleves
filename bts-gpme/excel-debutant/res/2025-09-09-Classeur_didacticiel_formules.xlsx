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codeName="ThisWorkbook" defaultThemeVersion="166925"/>
  <xr:revisionPtr revIDLastSave="1219" documentId="8_{F7BB7FA4-5166-4BA8-B31D-4692675AC03B}" xr6:coauthVersionLast="47" xr6:coauthVersionMax="47" xr10:uidLastSave="{420D7C7C-BDE1-48A2-8B6A-0E82FC33C81F}"/>
  <bookViews>
    <workbookView xWindow="-108" yWindow="-108" windowWidth="30936" windowHeight="16776" tabRatio="927" firstSheet="3" activeTab="12" xr2:uid="{00000000-000D-0000-FFFF-FFFF00000000}"/>
  </bookViews>
  <sheets>
    <sheet name="Démarrer" sheetId="2" r:id="rId1"/>
    <sheet name="Les bases" sheetId="19" r:id="rId2"/>
    <sheet name="Introduction aux Fonctions" sheetId="16" r:id="rId3"/>
    <sheet name="MOYENNE" sheetId="1" r:id="rId4"/>
    <sheet name="MIN &amp; MAX" sheetId="11" r:id="rId5"/>
    <sheet name="Date &amp; Heure" sheetId="10" r:id="rId6"/>
    <sheet name="Joindre du texte et des nombres" sheetId="15" r:id="rId7"/>
    <sheet name="Instruction SI" sheetId="13" r:id="rId8"/>
    <sheet name="RECHERCHEV" sheetId="9" r:id="rId9"/>
    <sheet name="Fonctions conditionnelles" sheetId="7" r:id="rId10"/>
    <sheet name="Assistant Fonction" sheetId="20" r:id="rId11"/>
    <sheet name="Erreurs de formules" sheetId="21" r:id="rId12"/>
    <sheet name="Learn more" sheetId="17" r:id="rId13"/>
  </sheets>
  <definedNames>
    <definedName name="_xlnm._FilterDatabase" localSheetId="9" hidden="1">'Fonctions conditionnelles'!$F$2:$H$14</definedName>
    <definedName name="_xlnm._FilterDatabase" localSheetId="1" hidden="1">'Les bases'!$P$9:$Q$10</definedName>
    <definedName name="Apples">tbl_FruitType[Apples]</definedName>
    <definedName name="Bananas">tbl_FruitType6[Bananas]</definedName>
    <definedName name="Expédition" comment="Cela peut être utilisé pour calculer les frais d'expédition partout dans le classeur, en changeant seulement le montant ici.">1.25</definedName>
    <definedName name="ExtraCredit" localSheetId="2">'Introduction aux Fonctions'!$F$9:$G$14</definedName>
    <definedName name="_xlnm.Extract" localSheetId="9">'Fonctions conditionnelles'!$AB$2</definedName>
    <definedName name="Fruit" localSheetId="2">'Introduction aux Fonctions'!$C$2:$D$6</definedName>
    <definedName name="grp_WalkMeArrows">"shp_ArrowCurved,txt_WalkMeArrows,shp_ArrowStraight"</definedName>
    <definedName name="grp_WalkMeBrace">"shp_BraceBottom,txt_WalkMeBrace,shp_BraceLeft"</definedName>
    <definedName name="Items" localSheetId="2">'Introduction aux Fonctions'!$C$9:$D$14</definedName>
    <definedName name="Lemons">tbl_FruitType5[Lemons]</definedName>
    <definedName name="lst_Fruit">tbl_Fruit[Fruit]</definedName>
    <definedName name="lst_FruitType">tbl_FruitType[Apples]</definedName>
    <definedName name="Meat" localSheetId="2">'Introduction aux Fonctions'!$F$2:$G$6</definedName>
    <definedName name="MoreFruit" localSheetId="2">'Introduction aux Fonctions'!$C$34:$D$39</definedName>
    <definedName name="MoreItems" localSheetId="2">'Introduction aux Fonctions'!$C$44:$D$48</definedName>
    <definedName name="Oranges">tbl_FruitType4[Oranges]</definedName>
    <definedName name="SalesTax">0.0825</definedName>
    <definedName name="Shipping">1.25</definedName>
    <definedName name="SUMExtraCredit" localSheetId="2">'Introduction aux Fonctions'!$F$9:$G$14</definedName>
    <definedName name="Total" localSheetId="2">'Introduction aux Fonctions'!$D$50:$D$51</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17" i="7" l="1"/>
  <c r="D17" i="7"/>
  <c r="D22" i="9"/>
  <c r="F35" i="13"/>
  <c r="F33" i="13"/>
  <c r="D12" i="13"/>
  <c r="G7" i="16"/>
  <c r="G15" i="16"/>
  <c r="D15" i="16"/>
  <c r="D36" i="10"/>
  <c r="A38" i="7"/>
  <c r="E106" i="7"/>
  <c r="D10" i="20"/>
  <c r="G51" i="16"/>
  <c r="D7" i="16"/>
  <c r="G7" i="19"/>
  <c r="D36" i="21"/>
  <c r="F6" i="10"/>
  <c r="D8" i="10"/>
  <c r="D9" i="21"/>
  <c r="J43" i="19"/>
  <c r="G6" i="19"/>
  <c r="G5" i="19"/>
  <c r="G4" i="19"/>
  <c r="G3" i="19"/>
  <c r="G43" i="9"/>
  <c r="D43" i="9"/>
  <c r="F3" i="15"/>
  <c r="E3" i="15"/>
  <c r="H64" i="7"/>
  <c r="D64" i="7"/>
  <c r="D123" i="7"/>
  <c r="D51" i="16"/>
  <c r="F29" i="13"/>
  <c r="F28" i="13"/>
  <c r="F31" i="13" s="1"/>
  <c r="G15" i="11"/>
  <c r="D39" i="16"/>
  <c r="D29" i="15"/>
  <c r="C37" i="15" s="1"/>
  <c r="D28" i="15"/>
  <c r="C36" i="15" s="1"/>
  <c r="D11" i="10"/>
  <c r="E31" i="13"/>
  <c r="F37" i="13" l="1"/>
  <c r="C33" i="15"/>
  <c r="C32" i="15"/>
</calcChain>
</file>

<file path=xl/sharedStrings.xml><?xml version="1.0" encoding="utf-8"?>
<sst xmlns="http://schemas.openxmlformats.org/spreadsheetml/2006/main" count="646" uniqueCount="325">
  <si>
    <t>Go back to top by pressing CTRL+HOME. To start the tour, press CTRL+PAGE DOWN.</t>
  </si>
  <si>
    <t>Fruit</t>
  </si>
  <si>
    <t>Amount</t>
  </si>
  <si>
    <t>Apples</t>
  </si>
  <si>
    <t>Oranges</t>
  </si>
  <si>
    <t>Bananas</t>
  </si>
  <si>
    <t>Lemons</t>
  </si>
  <si>
    <t>Item</t>
  </si>
  <si>
    <t>Cookies</t>
  </si>
  <si>
    <t xml:space="preserve">More about the SUM function </t>
  </si>
  <si>
    <t>In some of the above tips, we taught you how to use the SUM function. Here are more details about it.</t>
  </si>
  <si>
    <t xml:space="preserve">Cells C37 through D41 contain data with two columns: Fruit and Amount. </t>
  </si>
  <si>
    <t>The formula in cell D42: =SUM(D38:D41).</t>
  </si>
  <si>
    <t>If the SUM function in cell D42 could talk, it would say this: Sum up the values in cells D38, D39, D40, and D41.</t>
  </si>
  <si>
    <t>Here's another way it can be used:</t>
  </si>
  <si>
    <t xml:space="preserve">Cells C47 through D48 contain data with two columns: Item and Amount. </t>
  </si>
  <si>
    <t>Skates</t>
  </si>
  <si>
    <t>Total:</t>
  </si>
  <si>
    <t>More information on the web</t>
  </si>
  <si>
    <t>All about the SUMIF function</t>
  </si>
  <si>
    <t>Use Excel as your calculator</t>
  </si>
  <si>
    <t>Free Excel training online</t>
  </si>
  <si>
    <t>Go back to top by pressing CTRL+HOME. To proceed to the next step, press CTRL+PAGE DOWN.</t>
  </si>
  <si>
    <t xml:space="preserve">More information on the web
</t>
  </si>
  <si>
    <t>All about the COUNT function</t>
  </si>
  <si>
    <t>All about the SUM function</t>
  </si>
  <si>
    <t>MIN and MAX functions</t>
  </si>
  <si>
    <r>
      <t xml:space="preserve">Use the </t>
    </r>
    <r>
      <rPr>
        <b/>
        <sz val="10"/>
        <color theme="0"/>
        <rFont val="Calibri"/>
        <family val="2"/>
        <scheme val="minor"/>
      </rPr>
      <t>MIN</t>
    </r>
    <r>
      <rPr>
        <sz val="10"/>
        <color theme="0"/>
        <rFont val="Calibri"/>
        <family val="2"/>
        <scheme val="minor"/>
      </rPr>
      <t xml:space="preserve"> function to get the minumum number in a range of cells.</t>
    </r>
  </si>
  <si>
    <r>
      <t xml:space="preserve">Use the </t>
    </r>
    <r>
      <rPr>
        <b/>
        <sz val="10"/>
        <color theme="0"/>
        <rFont val="Calibri"/>
        <family val="2"/>
        <scheme val="minor"/>
      </rPr>
      <t xml:space="preserve">MAX </t>
    </r>
    <r>
      <rPr>
        <sz val="10"/>
        <color theme="0"/>
        <rFont val="Calibri"/>
        <family val="2"/>
        <scheme val="minor"/>
      </rPr>
      <t>function to get the maximum number in a range of cells.</t>
    </r>
  </si>
  <si>
    <r>
      <t xml:space="preserve">You can use either </t>
    </r>
    <r>
      <rPr>
        <b/>
        <sz val="10"/>
        <color theme="0"/>
        <rFont val="Calibri"/>
        <family val="2"/>
        <scheme val="minor"/>
      </rPr>
      <t>MIN</t>
    </r>
    <r>
      <rPr>
        <sz val="10"/>
        <color theme="0"/>
        <rFont val="Calibri"/>
        <family val="2"/>
        <scheme val="minor"/>
      </rPr>
      <t xml:space="preserve"> or </t>
    </r>
    <r>
      <rPr>
        <b/>
        <sz val="10"/>
        <color theme="0"/>
        <rFont val="Calibri"/>
        <family val="2"/>
        <scheme val="minor"/>
      </rPr>
      <t>MAX</t>
    </r>
    <r>
      <rPr>
        <sz val="10"/>
        <color theme="0"/>
        <rFont val="Calibri"/>
        <family val="2"/>
        <scheme val="minor"/>
      </rPr>
      <t xml:space="preserve"> with multiple ranges, or values to show the greater or lesser of those values, like =MIN(A1:A10,B1:B10), or =MAX(A1:A10,10).</t>
    </r>
  </si>
  <si>
    <r>
      <t xml:space="preserve">All about the </t>
    </r>
    <r>
      <rPr>
        <b/>
        <sz val="10"/>
        <color theme="0"/>
        <rFont val="Calibri"/>
        <family val="2"/>
        <scheme val="minor"/>
      </rPr>
      <t>MIN</t>
    </r>
    <r>
      <rPr>
        <sz val="10"/>
        <color theme="0"/>
        <rFont val="Calibri"/>
        <family val="2"/>
        <scheme val="minor"/>
      </rPr>
      <t xml:space="preserve"> function</t>
    </r>
  </si>
  <si>
    <r>
      <t xml:space="preserve">All about the </t>
    </r>
    <r>
      <rPr>
        <b/>
        <sz val="10"/>
        <color theme="0"/>
        <rFont val="Calibri"/>
        <family val="2"/>
        <scheme val="minor"/>
      </rPr>
      <t xml:space="preserve">MAX </t>
    </r>
    <r>
      <rPr>
        <sz val="10"/>
        <color theme="0"/>
        <rFont val="Calibri"/>
        <family val="2"/>
        <scheme val="minor"/>
      </rPr>
      <t>function</t>
    </r>
  </si>
  <si>
    <t>Type</t>
  </si>
  <si>
    <t>Fuji</t>
  </si>
  <si>
    <t>Florida</t>
  </si>
  <si>
    <t>Cavendish</t>
  </si>
  <si>
    <t>Rough</t>
  </si>
  <si>
    <t>Honeycrisp</t>
  </si>
  <si>
    <t>Navel</t>
  </si>
  <si>
    <t>Lady Finger</t>
  </si>
  <si>
    <t>Eureka</t>
  </si>
  <si>
    <t>Using text and numbers together</t>
  </si>
  <si>
    <t>IF statements</t>
  </si>
  <si>
    <t>Total</t>
  </si>
  <si>
    <t>Widget</t>
  </si>
  <si>
    <t>VLOOKUP</t>
  </si>
  <si>
    <t>All about the VLOOKUP function</t>
  </si>
  <si>
    <t>All about the INDEX/MATCH functions</t>
  </si>
  <si>
    <t>All about the IFERROR function</t>
  </si>
  <si>
    <t>Use PivotTables to analyze worksheet data</t>
  </si>
  <si>
    <t>More questions about Excel?</t>
  </si>
  <si>
    <t>Press ALT+Q and type what you want to know.</t>
  </si>
  <si>
    <t>Keep going. There is more to learn with Excel:</t>
  </si>
  <si>
    <t xml:space="preserve">LinkedIn Learning: Video courses for all levels—from beginner to advanced. Take at your own pace.
</t>
  </si>
  <si>
    <t xml:space="preserve">Community: Ask questions and connect with other Excel fans.
</t>
  </si>
  <si>
    <t xml:space="preserve">What else is new?
Office 365 subscribers get continual updates and new features.
</t>
  </si>
  <si>
    <t>Try it</t>
  </si>
  <si>
    <t>COUNTIF</t>
  </si>
  <si>
    <t>COUNTIFS</t>
  </si>
  <si>
    <t>Date functions</t>
  </si>
  <si>
    <t>Time functions</t>
  </si>
  <si>
    <t>Daily Hours Worked</t>
  </si>
  <si>
    <t>Static Date &amp; Time</t>
  </si>
  <si>
    <t>Date:</t>
  </si>
  <si>
    <t>Nancy</t>
  </si>
  <si>
    <t>Smith</t>
  </si>
  <si>
    <t>Andy</t>
  </si>
  <si>
    <t>North</t>
  </si>
  <si>
    <t>Jan</t>
  </si>
  <si>
    <t>Kotas</t>
  </si>
  <si>
    <t>Mariya</t>
  </si>
  <si>
    <t>Jones</t>
  </si>
  <si>
    <t>Steven</t>
  </si>
  <si>
    <t>Thorpe</t>
  </si>
  <si>
    <t>Michael</t>
  </si>
  <si>
    <t>Neipper</t>
  </si>
  <si>
    <t>Robert</t>
  </si>
  <si>
    <t>Zare</t>
  </si>
  <si>
    <t>Yvonne</t>
  </si>
  <si>
    <t>McKay</t>
  </si>
  <si>
    <t>Orange</t>
  </si>
  <si>
    <t xml:space="preserve">Addition (+) </t>
  </si>
  <si>
    <t xml:space="preserve">Multiplication (*) </t>
  </si>
  <si>
    <t xml:space="preserve">Division (/) </t>
  </si>
  <si>
    <t>Basics: doing math with Excel</t>
  </si>
  <si>
    <t xml:space="preserve">You can Add, Subtract, Multiply, and Divide in Excel without using any built-in functions. You just need to use some basic operators: +, -, *, /. All formulas start with an equals (=) sign.
</t>
  </si>
  <si>
    <t xml:space="preserve">To Add, select cell F3, type =C3+C4, then press Enter. 
</t>
  </si>
  <si>
    <t xml:space="preserve">To Subtract, select cell F4, type =C3-C4, then press Enter. </t>
  </si>
  <si>
    <t xml:space="preserve">To Multiply, select cell F5, type =C3*C4, then press Enter.
</t>
  </si>
  <si>
    <t xml:space="preserve">To Divide, select cell F6, type =C3/C4, then press Enter.
</t>
  </si>
  <si>
    <t>Dive down for more detail</t>
  </si>
  <si>
    <t>Next step</t>
  </si>
  <si>
    <t>More about formulas, cells, and ranges</t>
  </si>
  <si>
    <t xml:space="preserve">Excel is made up of individual cells that are grouped into rows and columns. Rows are numbered, and columns are lettered. There are over 1 million rows and 16,000 columns, and you can put formulas in any of them. 
</t>
  </si>
  <si>
    <t xml:space="preserve">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
</t>
  </si>
  <si>
    <t xml:space="preserve">Formulas with functions start with an equals sign, then the function name follows with its arguments (the values a function uses to calculate) wrapped in parentheses. 
</t>
  </si>
  <si>
    <t xml:space="preserve">You confirm a formula by pressing Enter. Once you do that the formula will calculate, and the result will be displayed in the cell. To see the formula itself, you can look at the formula bar beneath the Ribbon, or press F2 to enter Edit mode, where you'll see the formula in the cell. Press Enter again to finalize the formula and calculate the result.
</t>
  </si>
  <si>
    <t>=10*20 is a formula, where 10 and 20 are constants, and the * sign is the operator.</t>
  </si>
  <si>
    <t>=SUM(A1:A10) is a formula, where SUM is the function name, the opening and closing parentheses contain the formula arguments, and A1:A10 is the cell range for the function.</t>
  </si>
  <si>
    <t>=SUM(A1:A10,C1:C10) is a formula, where SUM is the function name, the opening and closing parentheses contain the formula arguments, and A1:A10,C1:C10 are the cell ranges for the function separated by a comma.</t>
  </si>
  <si>
    <t>Previous</t>
  </si>
  <si>
    <t>Next</t>
  </si>
  <si>
    <t>Use Excel as a calculator</t>
  </si>
  <si>
    <t>Overview of formulas in Excel</t>
  </si>
  <si>
    <t xml:space="preserve">Excel functions (by category) </t>
  </si>
  <si>
    <t>Excel functions (alphabetical) </t>
  </si>
  <si>
    <t>Check this out: change the numbers in cells C3 and C4, and watch the formula results automatically change.</t>
  </si>
  <si>
    <t>EXTRA CREDIT: You can raise a value to a power by using the carat (^) symbol, like =A1^A2. Enter it with Shift+6. In cell F7, enter =C3^C4.</t>
  </si>
  <si>
    <t>Some formula explanations</t>
  </si>
  <si>
    <t>Introduction to functions</t>
  </si>
  <si>
    <t>Functions give you the ability to do a variety of things, like perform mathematical operations, look up values, or even calculate dates and times. Let's try a few ways to add up values with the SUM function.</t>
  </si>
  <si>
    <t xml:space="preserve">Now let's try AutoSum. Select the cell under the column for Meat (cell G7), then go to Formulas &gt; AutoSum &gt; select SUM. You'll see Excel automatically enter the formula for you. Press Enter to confirm it. The AutoSum feature has all of the most common functions.
</t>
  </si>
  <si>
    <t>EXTRA CREDIT
Try the COUNT function using any of the methods you've already tried. The COUNT function counts the number of cells in a range that contain numbers.</t>
  </si>
  <si>
    <t>More about functions</t>
  </si>
  <si>
    <t>Go to the Formulas tab and browse through the Function Library, where functions are listed by category, like Text, Date &amp; Time, etc. Insert Function will let you search for functions by name, and launch a function wizard that can help you build your formula. 
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Now let's look at the anatomy of a few functions. The SUM function is structured like this:</t>
  </si>
  <si>
    <t xml:space="preserve">If the SUM function could talk, it would say, return the sum of all the values in cells D38 to D41, and all of column H. SUM is the function name, D38:D41 is the first range argument, which is almost always required, and H:H is the second range argument, separated by a comma. Now, let's try one that doesn't require any arguments.
</t>
  </si>
  <si>
    <t>The TODAY function returns today's date. It will automatically update when Excel recalculates.</t>
  </si>
  <si>
    <t xml:space="preserve">CHECK THIS OUT
Select these cells. Then in the lower-right corner of the Excel window, look for SUM: 170 in the bottom bar. That's called the Status Bar, and it's just another way to quickly find a total and other details about a selected cell or range. </t>
  </si>
  <si>
    <t>Use AutoSum to sum numbers</t>
  </si>
  <si>
    <t>Back to top</t>
  </si>
  <si>
    <t>AVERAGE function</t>
  </si>
  <si>
    <t>Activate the previous sheet</t>
  </si>
  <si>
    <t>Go to the next sheet</t>
  </si>
  <si>
    <t>Links for more information on the web</t>
  </si>
  <si>
    <t>Select to learn all about the AVERAGE function on the web</t>
  </si>
  <si>
    <t>Select to learn all about the MEDIAN function on the web</t>
  </si>
  <si>
    <t>Select to learn all about the MODE function on the web</t>
  </si>
  <si>
    <t>Select to learn about free Excel training on the web</t>
  </si>
  <si>
    <t xml:space="preserve">EXTRA CREDIT
Try using MEDIAN or MODE here. 
MEDIAN gives you the value in the middle of the data set, while 
MODE gives the one that occurs the most frequently.
</t>
  </si>
  <si>
    <r>
      <t xml:space="preserve">Use the </t>
    </r>
    <r>
      <rPr>
        <b/>
        <sz val="11"/>
        <color theme="0"/>
        <rFont val="Segoe UI"/>
        <family val="2"/>
      </rPr>
      <t>AVERAGE</t>
    </r>
    <r>
      <rPr>
        <sz val="11"/>
        <color theme="0"/>
        <rFont val="Segoe UI"/>
        <family val="2"/>
      </rPr>
      <t xml:space="preserve"> function to get the average of numbers in a range of cells.</t>
    </r>
  </si>
  <si>
    <r>
      <t xml:space="preserve">Select cell D7, then use </t>
    </r>
    <r>
      <rPr>
        <b/>
        <sz val="11"/>
        <color theme="0"/>
        <rFont val="Segoe UI"/>
        <family val="2"/>
      </rPr>
      <t>AutoSum</t>
    </r>
    <r>
      <rPr>
        <sz val="11"/>
        <color theme="0"/>
        <rFont val="Segoe UI"/>
        <family val="2"/>
      </rPr>
      <t xml:space="preserve"> to add an </t>
    </r>
    <r>
      <rPr>
        <b/>
        <sz val="11"/>
        <color theme="0"/>
        <rFont val="Segoe UI"/>
        <family val="2"/>
      </rPr>
      <t>AVERAGE</t>
    </r>
    <r>
      <rPr>
        <sz val="11"/>
        <color theme="0"/>
        <rFont val="Segoe UI"/>
        <family val="2"/>
      </rPr>
      <t xml:space="preserve"> function.</t>
    </r>
  </si>
  <si>
    <r>
      <t xml:space="preserve">Now select cell G7, and enter an </t>
    </r>
    <r>
      <rPr>
        <b/>
        <sz val="11"/>
        <color theme="0"/>
        <rFont val="Segoe UI"/>
        <family val="2"/>
      </rPr>
      <t xml:space="preserve">AVERAGE </t>
    </r>
    <r>
      <rPr>
        <sz val="11"/>
        <color theme="0"/>
        <rFont val="Segoe UI"/>
        <family val="2"/>
      </rPr>
      <t xml:space="preserve">function by typing </t>
    </r>
    <r>
      <rPr>
        <b/>
        <sz val="11"/>
        <color theme="0"/>
        <rFont val="Segoe UI"/>
        <family val="2"/>
      </rPr>
      <t xml:space="preserve">=AVERAGE(G3:G6). </t>
    </r>
  </si>
  <si>
    <r>
      <t xml:space="preserve">In cell D15, you can use either </t>
    </r>
    <r>
      <rPr>
        <b/>
        <sz val="11"/>
        <color theme="0"/>
        <rFont val="Segoe UI"/>
        <family val="2"/>
      </rPr>
      <t>AutoSum</t>
    </r>
    <r>
      <rPr>
        <sz val="11"/>
        <color theme="0"/>
        <rFont val="Segoe UI"/>
        <family val="2"/>
      </rPr>
      <t xml:space="preserve">, or type to enter another </t>
    </r>
    <r>
      <rPr>
        <b/>
        <sz val="11"/>
        <color theme="0"/>
        <rFont val="Segoe UI"/>
        <family val="2"/>
      </rPr>
      <t xml:space="preserve">AVERAGE </t>
    </r>
    <r>
      <rPr>
        <sz val="11"/>
        <color theme="0"/>
        <rFont val="Segoe UI"/>
        <family val="2"/>
      </rPr>
      <t xml:space="preserve">function. </t>
    </r>
  </si>
  <si>
    <t xml:space="preserve">Select cell D7, then use the AutoSum Wizard to add a MIN function.
</t>
  </si>
  <si>
    <t xml:space="preserve">Now select cell G7, and enter a MAX function by typing =MAX(D3:D6).
</t>
  </si>
  <si>
    <t xml:space="preserve">In cell D15, you can use either the AutoSum Wizard, or type to enter a MIN or MAX function. 
</t>
  </si>
  <si>
    <t>All aobut the MIN function</t>
  </si>
  <si>
    <t>All about the MAX function</t>
  </si>
  <si>
    <t>Excel can give you the current date, based on your computer's regional settings. You can also add and subtract Dates.</t>
  </si>
  <si>
    <t xml:space="preserve">Check out the TODAY function, which gives you Today's date. These are live, or volatile functions, so when you open your workbook tomorrow, it will have tomorrow's date. Enter =TODAY() in cell D6. 
</t>
  </si>
  <si>
    <t xml:space="preserve">Subtract Dates - Enter your next birthday in MM/DD/YY format in cell D7, and watch Excel tell you how many days away it is by using =D7-D6 in cell D8.
</t>
  </si>
  <si>
    <t xml:space="preserve">Add Dates - Let's say you want to know what date a bill is due, or when you need to return a library book. You can add days to a date to find out. In cell D10, enter a random number of days. In cell D11, we added =D6+D10 to calculate the due date from today.
</t>
  </si>
  <si>
    <t xml:space="preserve">GOOD TO KNOW
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t>
  </si>
  <si>
    <t xml:space="preserve">Excel can give you the current time, based on your computer's regional settings. You can also add and subtract times. For instance, you might need to keep track of how many hours an employee worked each week, and calculate their pay and overtime.
</t>
  </si>
  <si>
    <t>All about the TODAY function</t>
  </si>
  <si>
    <t>All about the NOW function</t>
  </si>
  <si>
    <t>All about the DATE function</t>
  </si>
  <si>
    <t>Joining text from different cells</t>
  </si>
  <si>
    <t xml:space="preserve">There are many times in Excel when you want to join text that's in different cells. This example is very common, where you have first and last names, and want to combine them as first name, last name, or full name. Fortunately, Excel lets us do that with the Ampersand (&amp;) sign, which you can enter with Shift+7.
</t>
  </si>
  <si>
    <t xml:space="preserve">In cell E3, enter =D3&amp;C3 to join the last and first names. 
</t>
  </si>
  <si>
    <t xml:space="preserve">SmithNancy doesn't look quite right though. We need to add a comma and a space. To do that we'll use quotes to create a new text string. This time, enter =D3&amp;", "&amp;C3. The &amp;", "&amp; portion lets us join a comma and space with the text in the cells.
</t>
  </si>
  <si>
    <t xml:space="preserve">To create the full name, we'll join first and last name, but use a space without a comma. In F3, enter =C3&amp;" "&amp;D3.
</t>
  </si>
  <si>
    <t>Now we'll use the &amp; to join text and numbers, not just text and text
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t>
  </si>
  <si>
    <t xml:space="preserve">In cell C36, enter =C28&amp;" "&amp;TEXT(D28,"MM/DD/YYYY"). MM/DD/YYYY is the US format code for Month/Day/Year, like 09/25/2017.
</t>
  </si>
  <si>
    <t xml:space="preserve">In cell C37, enter =C29&amp;" "&amp;TEXT(D29,"HH:MM AM/PM"). HH:MM AM/PM is the US format code for Hours:Minutes AM or PM, like 1:30 PM.
</t>
  </si>
  <si>
    <t>CHECK THIS OUT
Formulas, especially big ones, can sometimes be hard to read, but you can break up their parts with spaces like this:
=C28 &amp; " " &amp; TEXT(D28,"MM/DD/YYYY")</t>
  </si>
  <si>
    <t>All about the TEXT function</t>
  </si>
  <si>
    <t>Combine text and numbers</t>
  </si>
  <si>
    <t>IF statements allow you to make logical comparisons between conditions. An IF statement generally says that if one condition is true do something, otherwise do something else. The formulas can return text, values, or even more calculations.</t>
  </si>
  <si>
    <t>IMPORTANT DETAIL
TRUE and FALSE are unlike other words in Excel formulas in that they don't need to be in quotes, and Excel will automatically capitalize them. Numbers don't need to be in quotes either. Regular text, like Yes or No does need to be in quotes like this: 
=IF(C3="Apple","Yes","No")</t>
  </si>
  <si>
    <t>IF statement with another function</t>
  </si>
  <si>
    <t xml:space="preserve">IF statements can also force additional calculations to be performed if a certain condition is met. Here we're going to evaluate a cell to see if Sales Tax should be charged, and calculate it if the condition is true.
</t>
  </si>
  <si>
    <t>GOOD TO KNOW
When you create a formula, Excel will automatically place colored borders around any ranges referenced in the formula, and the corresponding ranges in the formula will be the same color. You can see this if you select cell F33 and press F2 to edit the formula.</t>
  </si>
  <si>
    <t>All about the IF function</t>
  </si>
  <si>
    <t>All about the IFS function</t>
  </si>
  <si>
    <t>Advanced IF statements</t>
  </si>
  <si>
    <t xml:space="preserve">VLOOKUP is one of the most widely used functions in Excel (and one of our favorites too!). VLOOKUP lets you look up a value in a column on the left, then returns information in another column to the right if it finds a match. VLOOKUP says:
</t>
  </si>
  <si>
    <t>=VLOOKUP(A1,B:C,2,FALSE)</t>
  </si>
  <si>
    <t>What do you want to look for?</t>
  </si>
  <si>
    <t>If you find it, how many columns to the right do you want to get a value?</t>
  </si>
  <si>
    <t>Where do you want to look for it?</t>
  </si>
  <si>
    <t>Do you want an exact, or approximate match?</t>
  </si>
  <si>
    <t>EXPERIMENT
Try selecting different items from the drop down lists. You'll see the result cells instantly update themselves with new values.</t>
  </si>
  <si>
    <t>VLOOKUP and #N/A</t>
  </si>
  <si>
    <t xml:space="preserve">Invariably, you'll run into a situation where VLOOKUP can't find what you asked it to, and it returns an error (#N/A). Sometimes, it's because the lookup value simply doesn't exist, or it can because the reference cell doesn't have a value yet.
</t>
  </si>
  <si>
    <t>IMPORTANT DETAIL
IFERROR is what's known as a blanket error handler, meaning it will suppress any error your formula might throw. This can cause problems if Excel is giving you a notification that your formula has a legitimate error that needs to be fixed.
A rule of thumb is to not add error handlers to your formulas until you're absolutely certain they work properly.</t>
  </si>
  <si>
    <t>Conditional functions - SUMIF</t>
  </si>
  <si>
    <t>Conditional functions let you sum, average, count or get the min or max of a range based on a given condition, or criteria you specify. Such as, out of all the fruits in the list, how many are apples? Or, how many oranges are the Florida type?</t>
  </si>
  <si>
    <t>SUMIF lets you sum in one range based on a specifc criteria you look for in another range, like how many Apples you have. Select cell D17 and type =SUMIF(C3:C14,C17,D3:D14). SUMIF is structured like this:</t>
  </si>
  <si>
    <t>=SUMIF(C3:C14,C17,D3:D4)</t>
  </si>
  <si>
    <t>What range do you want to look at?</t>
  </si>
  <si>
    <t>What value (text or number) do you want to look for?</t>
  </si>
  <si>
    <t xml:space="preserve">SUMIFS is the same as SUMIF, but it lets you use multiple criteria. So in this example, you can look for Fruit and Type, instead of just by Fruit. Select cell H17 and type =SUMIFS(H3:H14,F3:F14,F17,G3:G14,G17). SUMIFS is structured like this:
</t>
  </si>
  <si>
    <t>=SUMIFS(H3:H14,F3:F14,F17,G3:G14,G17)</t>
  </si>
  <si>
    <t>What range do you want to sum?</t>
  </si>
  <si>
    <t>This is the first range to look in for matches</t>
  </si>
  <si>
    <t>This is the criteria for the first match</t>
  </si>
  <si>
    <t>This is the second range to look in for matches</t>
  </si>
  <si>
    <t>This is the criteria for the second match</t>
  </si>
  <si>
    <t>Conditional functions - COUNTIF</t>
  </si>
  <si>
    <t>COUNTIF and COUNTIFS let you count values in a range based on a criteria you specify. They're a bit different from the other IF and IFS functions, in that they only have a criteria range, and criteria. They don't evalute one range, then look in another to summarize.</t>
  </si>
  <si>
    <t>=COUNTIF(C50:C61,C64)</t>
  </si>
  <si>
    <t>=COUNTIFS(F50:F61,F64,G50:G61,G64)</t>
  </si>
  <si>
    <t>This is the first range to count</t>
  </si>
  <si>
    <t>This is the second range to count</t>
  </si>
  <si>
    <t>This is criteria for the second match</t>
  </si>
  <si>
    <t>More conditional functions</t>
  </si>
  <si>
    <t>SUMIF with a value argument</t>
  </si>
  <si>
    <t>Here's an example of the SUMIF function using greater than (&gt;) to find all values greater than a given amount:</t>
  </si>
  <si>
    <t>Sum up some values based on this criterion:</t>
  </si>
  <si>
    <t>....Look through these cells...
 </t>
  </si>
  <si>
    <t>...and if the value is greater than 50, sum it up.
 </t>
  </si>
  <si>
    <t>NOTE: If you find you are making a lot of conditional formulas, you might find that a PivotTable is a better solution. See this PivotTable article for more information.</t>
  </si>
  <si>
    <t>All about the SUMIFS function</t>
  </si>
  <si>
    <t>All about the COUNTIF function</t>
  </si>
  <si>
    <t>All about the COUNTIFS function</t>
  </si>
  <si>
    <t>All about the AVERAGEIF function</t>
  </si>
  <si>
    <t>All about the AVERAGEIFS function</t>
  </si>
  <si>
    <t>All about the MINIFS function</t>
  </si>
  <si>
    <t>All about the MAXIFS function</t>
  </si>
  <si>
    <t>Create a drop-down list</t>
  </si>
  <si>
    <t>Let the Function Wizard guide you</t>
  </si>
  <si>
    <t xml:space="preserve">If you know the name of the function you want, but you're not sure how to build it, you can use the Function Wizard to help you out.
</t>
  </si>
  <si>
    <t>GOOD TO KNOW
You can type cell and range references, or select them with your mouse.</t>
  </si>
  <si>
    <t>Excel functions (by category)</t>
  </si>
  <si>
    <t>Excel functions (alphabetical)</t>
  </si>
  <si>
    <t>Fixing formula errors</t>
  </si>
  <si>
    <t xml:space="preserve">At some point in time, you'll run across a formula that has an error, which Excel will display with #ErrorName. Errors can be helpful, because they point out when something's not working right, but they can be challenging to fix. Fortunately, there are several options that can help you track down the source of the error, and fix it.
</t>
  </si>
  <si>
    <t xml:space="preserve">Error checking - Go to Formulas &gt; Error Checking. This will load a dialog that will tell you the general cause for your specific error. In cell D9, the #N/A error is caused because there is no value matching "Apple". You can fix this by using a value that does exist, suppress the error with IFERROR, or ignore it and know it will go away when you do use a value that exists.
</t>
  </si>
  <si>
    <t xml:space="preserve">If you click Help on this Error, a help topic specific to the error message will open. If you click Show Calculation Steps, an Evaluate Formula dialog will load.
</t>
  </si>
  <si>
    <t xml:space="preserve">Each time you click Evaluate, Excel will step through the formula one section at a time. It won't necessarily tell you why an error occurs, but it will point out where. From there, look at the help topic to deduce what went wrong with your formula.
</t>
  </si>
  <si>
    <t>EXPERIMENT
What's wrong here? Hint: We're trying to SUM up all the items.</t>
  </si>
  <si>
    <t>Detect errors in formulas</t>
  </si>
  <si>
    <t>How to avoid broken formulas</t>
  </si>
  <si>
    <t>Evaluate a nested formula one step at a time</t>
  </si>
  <si>
    <t>Here's a neat keyboard shortcut. Select cell D15, then press Alt =, then Enter. This automatically enters SUM for you.</t>
  </si>
  <si>
    <t xml:space="preserve">CHECK THIS OUT
Select any range of numbers, then look in the Status Bar for an instant Average.
</t>
  </si>
  <si>
    <t xml:space="preserve">GOOD TO KNOW
You can use either MIN or MAX with multiple ranges, or values to show the greater or lesser of those values, like =MIN(A1:A10,B1:B10), or =MAX(A1:A10,B1), where B1 contains a threshold value, like 10, in which case the formula would never return a result less than 10.
</t>
  </si>
  <si>
    <t>If this formula could talk, it would say, "Take the Time Out and subtract it from the Time In, then subtract the Lunch Out/In Times, then multiply those by 24 to convert Excel's fractional time to hours", or =((Time In - Time Out)-(Lunch In - Lunch Out))*24.</t>
  </si>
  <si>
    <t xml:space="preserve">IMPORTANT DETAIL
If you don't want Excel to display a negative number because you haven't entered your birthday yet, you can use an IF function like this: =IF(D7="","",D7-D6), which says, "IF D7 equals nothing, then show nothing, otherwise show D7 minus D6".
</t>
  </si>
  <si>
    <t xml:space="preserve">In cell D9 enter =IF(C9="Apple",TRUE,FALSE). The correct answer is TRUE. 
</t>
  </si>
  <si>
    <t xml:space="preserve">Copy D9 to D10. The answer here should be FALSE, because an orange is not an apple.
</t>
  </si>
  <si>
    <t>In cell F33, we've entered =IF(E33="Yes",F31*SalesTax,0), where we set up SalesTax as a Named Range with a value of 0.0825. Our formula says If cell E33 equals Yes, then multiply cell F31 times SalesTax, otherwise return a 0.
Try changing Yes to No in cell E33 to see the calculation change.</t>
  </si>
  <si>
    <t xml:space="preserve">Next we've added an IF statement to calculate shipping if it's required. In cell F35 you'll see =IF(E35="Yes",SUM(D28:D29)*1.25,0). This says "If cell E35 is Yes, then take the sum of the Quantity column in the table above, and multiply it by 1.25, otherwise return a 0".
</t>
  </si>
  <si>
    <t xml:space="preserve">Next, change the 1.25 in the formula in cell F35 to "Shipping".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
</t>
  </si>
  <si>
    <t xml:space="preserve">EXPERT TIP
Named Ranges allow you to define terms or values in a single place, and then reuse them throughout a workbook. You can see all of the named ranges in this workbook by going to Formulas &gt; Name Manager. Click here to learn more.
</t>
  </si>
  <si>
    <t xml:space="preserve">In cell D22, enter =VLOOKUP(C22,C17:D20,2,FALSE). The correct answer for Apples is 50. VLOOKUP looked for Apples, found it, then went over one column to the right, and returned the amount.
</t>
  </si>
  <si>
    <t xml:space="preserve">Now try for yourself in the Meat section, in cell G22. You should end up with =VLOOKUP(F22,F17:G20,2,FALSE).
</t>
  </si>
  <si>
    <t xml:space="preserve">If you know your lookup value exists, but want to hide the error if the lookup cell is blank, you can use an IF statement. In this case, we'll wrap our existing VLOOKUP formula like this in cell D43:
=IF(C43="","",VLOOKUP(C43,C37:D41,2,FALSE))
This says if cell C43 equals nothing (""), then return nothing, otherwise return the VLOOKUP's results. Note the second closing parenthesis at the end of the formula. This closes the IF statement.
</t>
  </si>
  <si>
    <t xml:space="preserve">If you're not sure your lookup value exists, but you still want to suppress the #N/A error, you can use an error handling function called IFERROR in cell G43: =IFERROR(VLOOKUP(F43,F37:G41,2,FALSE),""). IFERROR says if the VLOOKUP returns a valid result, then display that, otherwise, display nothing (""). We displayed nothing here (""), but you can also use numbers (0,1, 2, etc.), or text, such as "Formula isn't correct".
</t>
  </si>
  <si>
    <t>For each match found, what range do you want to sum in?</t>
  </si>
  <si>
    <t xml:space="preserve">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
</t>
  </si>
  <si>
    <t xml:space="preserve">GOOD TO KNOW
As you enter each argument's section, the argument's description will be displayed toward the bottom of the form, above the Formula result.
</t>
  </si>
  <si>
    <t xml:space="preserve">GOOD TO KNOW
Clicking Options will let you set the rules for when errors in Excel are displayed or ignored.
</t>
  </si>
  <si>
    <t xml:space="preserve">GOOD TO KNOW: 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
For example: Select the yellow cell with 12 below. You'll see we used the SUM function with a range of cells. We didn't type in "4" or "8" directly into the formula. 
</t>
  </si>
  <si>
    <t xml:space="preserve">Under the Amount column for Fruit (cell D7), enter =SUM(D3:D6), or type =SUM(, then select that range with the mouse, and press Enter. This will sum the values in cells D3, D4, D5, and D6. Your answer should be 170.
</t>
  </si>
  <si>
    <t>Operation:</t>
  </si>
  <si>
    <t>EXPERT TIP
Each one of the Fruit and Type cells has a drop-down list where you can select different fruits. Try it, and watch the formulas automatically update.</t>
  </si>
  <si>
    <t>CHECK THIS OUT
You should end up with =VLOOKUP(C10,C5:D8,2,FALSE)</t>
  </si>
  <si>
    <t>MIN &gt;</t>
  </si>
  <si>
    <t>MAX &gt;</t>
  </si>
  <si>
    <t>MIN or MAX &gt;</t>
  </si>
  <si>
    <t>New Total</t>
  </si>
  <si>
    <t>Additional Value</t>
  </si>
  <si>
    <t xml:space="preserve">COUNTIFS is the same as SUMIF, but it lets you use multiple criteria. So in this example, you can look for Fruit and Type, instead of just by Fruit. Select cell H64 and type =COUNTIFS(F50:F61,F64,G50:G61,G64). COUNTIFS is structured like this:
</t>
  </si>
  <si>
    <t>Select cell D64 and type =COUNTIF(C50:C61,C64). COUNTIF is structured like this:</t>
  </si>
  <si>
    <t xml:space="preserve">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
SUMIF 	=SUMIF(C92:C103,C106,E92:E103) 
SUMIFS 	=SUMIFS(E92:E103,C92:C103,C106,D92:D103,D106) 
AVERAGEIF 	=AVERAGEIF(C92:C103,C106,E92:E103) 
AVERAGEIFS	=AVERAGEIFS(E92:E103,C92:C103,C106,D92:D92,D106)
COUNTIF 	=COUNTIF(C92:C103,C106)
COUNTIFS 	=COUNTIFS(C92:C103,C106,D92:D103,D106) 
MAXIFS 	=MAXIFS(E92:E103,C92:C103,C106,D92:D103,D106)
MINIFS 	=MINIFS(E92:E103,C92:C103,C106,D92:D103,D106)
</t>
  </si>
  <si>
    <t xml:space="preserve">IMPORTANT DETAIL
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t>
  </si>
  <si>
    <t xml:space="preserve">Formulas can contain cell references, ranges of cell references, operators, and constants. The following are all examples of formulas:
=A1+B1
=10*20
=SUM(A1:A10)
</t>
  </si>
  <si>
    <t xml:space="preserve">Select cell D10, then go to Formulas &gt; Insert Function &gt; type VLOOKUP in the Search for a function box, and press GO. When you see VLOOKUP highlighted, click OK at the bottom. When you select a function in the list, Excel will display its syntax.
</t>
  </si>
  <si>
    <t xml:space="preserve">Try another example by looking at the formula in cell D12. We got you started with =IF(C12&lt;100,"Less than 100","Greater than or equal to 100"). What happens if you enter a number greater than 100 in cell C12?
</t>
  </si>
  <si>
    <t xml:space="preserve">In cell D28, enter =NOW(), which will give the current time, and will update each time Excel calculates. If you need to change the Time format, you can go to Ctrl+1 &gt; Number &gt; Time &gt; Select the format you want.
</t>
  </si>
  <si>
    <t xml:space="preserve">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
</t>
  </si>
  <si>
    <t>WORTH EXPLORING
If you don't know what format code to use, you can use Ctrl+1 &gt; Number to format any cell the way you want.  Then select the Custom option. You can copy the format code that's displayed back to your formula.</t>
  </si>
  <si>
    <t>Premiers pas avec les formules</t>
  </si>
  <si>
    <t>En quelques étapes seulement, vous serez opérationnel pour créer des formules et des fonctions dans Excel, l’application de tableur la plus puissante au monde.</t>
  </si>
  <si>
    <t>Numéros à utiliser :</t>
  </si>
  <si>
    <t>Réponses :</t>
  </si>
  <si>
    <t>Formules :</t>
  </si>
  <si>
    <t xml:space="preserve">Soustraction (-) </t>
  </si>
  <si>
    <t xml:space="preserve">Puissance (^) </t>
  </si>
  <si>
    <t>Valeurs</t>
  </si>
  <si>
    <t>Viande</t>
  </si>
  <si>
    <t>SOMME&gt;</t>
  </si>
  <si>
    <t>Articles</t>
  </si>
  <si>
    <t>Pomme</t>
  </si>
  <si>
    <t>Bananes</t>
  </si>
  <si>
    <t>Citrons</t>
  </si>
  <si>
    <t>Bœuf</t>
  </si>
  <si>
    <t>Poulet</t>
  </si>
  <si>
    <t>Porc</t>
  </si>
  <si>
    <t>Poisson</t>
  </si>
  <si>
    <t>Pain</t>
  </si>
  <si>
    <t>Tartes</t>
  </si>
  <si>
    <t>Gâteaux</t>
  </si>
  <si>
    <t>Beignets</t>
  </si>
  <si>
    <t>NOMBRE&gt;</t>
  </si>
  <si>
    <t>Voitures</t>
  </si>
  <si>
    <t>Camions</t>
  </si>
  <si>
    <t>Vélos</t>
  </si>
  <si>
    <t>MOYENNE &gt;</t>
  </si>
  <si>
    <t>Quantité</t>
  </si>
  <si>
    <t>Date du jour</t>
  </si>
  <si>
    <t>Votre anniversaire</t>
  </si>
  <si>
    <t>Jour avant votre anniversaire</t>
  </si>
  <si>
    <t>Facture due le :</t>
  </si>
  <si>
    <t>Jours de grâce :</t>
  </si>
  <si>
    <t>Heure actuelle :</t>
  </si>
  <si>
    <t>Heure d'entrée :</t>
  </si>
  <si>
    <t>Début du déjeuner :</t>
  </si>
  <si>
    <t>Fin du déjeuner :</t>
  </si>
  <si>
    <t>Heure de sortie</t>
  </si>
  <si>
    <t>Total heures</t>
  </si>
  <si>
    <t>Heure :</t>
  </si>
  <si>
    <t>Prénom</t>
  </si>
  <si>
    <t>Nom</t>
  </si>
  <si>
    <t>Nom,  Prénom</t>
  </si>
  <si>
    <t>Nom complet</t>
  </si>
  <si>
    <t>Utilisez du texte et des nombres</t>
  </si>
  <si>
    <t>Date du jour :</t>
  </si>
  <si>
    <t>Joindre texte et nombres</t>
  </si>
  <si>
    <t>Formater texte et nombres</t>
  </si>
  <si>
    <t>Instruction SI</t>
  </si>
  <si>
    <t>Objet</t>
  </si>
  <si>
    <t>Bidule</t>
  </si>
  <si>
    <t>Coût</t>
  </si>
  <si>
    <t>Sous-Total</t>
  </si>
  <si>
    <t>Oui</t>
  </si>
  <si>
    <t>TVA (20%)</t>
  </si>
  <si>
    <t>Frais d'expédition</t>
  </si>
  <si>
    <t>Pommes</t>
  </si>
  <si>
    <t>Article</t>
  </si>
  <si>
    <t>Fruits</t>
  </si>
  <si>
    <t>SOMME.SI</t>
  </si>
  <si>
    <t>Quantit2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</si>
</sst>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4" formatCode="_-* #,##0.00\ &quot;€&quot;_-;\-* #,##0.00\ &quot;€&quot;_-;_-* &quot;-&quot;??\ &quot;€&quot;_-;_-@_-"/>
    <numFmt numFmtId="164" formatCode="mm/dd/yy;@"/>
    <numFmt numFmtId="165" formatCode="[$-409]h:mm\ AM/PM;@"/>
    <numFmt numFmtId="166" formatCode="[$-409]h:mm:ss\ AM/PM;@"/>
    <numFmt numFmtId="167" formatCode="h:mm;@"/>
    <numFmt numFmtId="168" formatCode="_-* #,##0.00\ [$€-40C]_-;\-* #,##0.00\ [$€-40C]_-;_-* &quot;-&quot;??\ [$€-40C]_-;_-@_-"/>
  </numFmts>
  <fonts count="41" x14ac:knownFonts="1">
    <font>
      <sz val="11"/>
      <color theme="1"/>
      <name val="Calibri"/>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rgb="FF0B744D"/>
      <name val="Calibri"/>
      <family val="2"/>
      <scheme val="minor"/>
    </font>
    <font>
      <sz val="11"/>
      <color theme="1"/>
      <name val="Calibri"/>
      <family val="2"/>
      <scheme val="minor"/>
    </font>
    <font>
      <sz val="72"/>
      <color theme="0"/>
      <name val="Calibri Light"/>
      <family val="2"/>
      <scheme val="major"/>
    </font>
    <font>
      <sz val="17"/>
      <color theme="0"/>
      <name val="Calibri"/>
      <family val="2"/>
      <scheme val="minor"/>
    </font>
    <font>
      <sz val="11"/>
      <color theme="0"/>
      <name val="Calibri"/>
      <family val="2"/>
      <scheme val="minor"/>
    </font>
    <font>
      <sz val="11"/>
      <color rgb="FF404040"/>
      <name val="Calibri"/>
      <family val="2"/>
      <scheme val="minor"/>
    </font>
    <font>
      <b/>
      <sz val="11"/>
      <color theme="1"/>
      <name val="Calibri"/>
      <family val="2"/>
      <scheme val="minor"/>
    </font>
    <font>
      <sz val="10"/>
      <color theme="0"/>
      <name val="Calibri"/>
      <family val="2"/>
      <scheme val="minor"/>
    </font>
    <font>
      <b/>
      <sz val="10"/>
      <color theme="0"/>
      <name val="Calibri"/>
      <family val="2"/>
      <scheme val="minor"/>
    </font>
    <font>
      <sz val="11"/>
      <color theme="1"/>
      <name val="Calibri"/>
      <family val="2"/>
      <scheme val="minor"/>
    </font>
    <font>
      <sz val="11"/>
      <color theme="0"/>
      <name val="Calibri"/>
      <family val="2"/>
      <scheme val="minor"/>
    </font>
    <font>
      <b/>
      <sz val="14"/>
      <color rgb="FF404040"/>
      <name val="Calibri"/>
      <family val="2"/>
      <scheme val="minor"/>
    </font>
    <font>
      <sz val="11"/>
      <color theme="1"/>
      <name val="Calibri"/>
      <family val="2"/>
    </font>
    <font>
      <sz val="11"/>
      <color theme="0"/>
      <name val="Calibri"/>
      <family val="2"/>
    </font>
    <font>
      <sz val="10"/>
      <color theme="1"/>
      <name val="Calibri"/>
      <family val="2"/>
      <scheme val="minor"/>
    </font>
    <font>
      <sz val="10"/>
      <color theme="0"/>
      <name val="Segoe UI"/>
      <family val="2"/>
    </font>
    <font>
      <b/>
      <sz val="11"/>
      <color theme="0"/>
      <name val="Calibri"/>
      <family val="2"/>
      <scheme val="minor"/>
    </font>
    <font>
      <sz val="12"/>
      <color theme="1"/>
      <name val="Segoe UI"/>
      <family val="2"/>
    </font>
    <font>
      <sz val="24"/>
      <color theme="1"/>
      <name val="Segoe UI"/>
      <family val="2"/>
    </font>
    <font>
      <u/>
      <sz val="11"/>
      <color theme="10"/>
      <name val="Calibri"/>
      <family val="2"/>
    </font>
    <font>
      <sz val="20"/>
      <color rgb="FF000000"/>
      <name val="Courier New"/>
      <family val="3"/>
    </font>
    <font>
      <sz val="54"/>
      <color theme="0"/>
      <name val="Segoe UI"/>
      <family val="2"/>
    </font>
    <font>
      <sz val="22"/>
      <color rgb="FF3B3838"/>
      <name val="Segoe UI Light"/>
      <family val="2"/>
    </font>
    <font>
      <sz val="11"/>
      <color theme="0"/>
      <name val="Calibri"/>
      <family val="2"/>
      <scheme val="minor"/>
    </font>
    <font>
      <sz val="26"/>
      <color theme="2" tint="-0.749992370372631"/>
      <name val="Calibri"/>
      <family val="2"/>
      <scheme val="minor"/>
    </font>
    <font>
      <sz val="22"/>
      <color rgb="FF3B3838"/>
      <name val="Segoe UI Light"/>
      <family val="2"/>
    </font>
    <font>
      <sz val="11"/>
      <color theme="1"/>
      <name val="Calibri"/>
      <family val="2"/>
      <scheme val="minor"/>
    </font>
    <font>
      <sz val="12"/>
      <color theme="1" tint="0.249977111117893"/>
      <name val="Calibri"/>
      <family val="2"/>
      <scheme val="minor"/>
    </font>
    <font>
      <sz val="11"/>
      <color theme="1"/>
      <name val="Calibri"/>
      <family val="2"/>
    </font>
    <font>
      <sz val="11"/>
      <color theme="0"/>
      <name val="Segoe UI"/>
      <family val="2"/>
    </font>
    <font>
      <b/>
      <sz val="11"/>
      <color theme="0"/>
      <name val="Segoe UI"/>
      <family val="2"/>
    </font>
    <font>
      <b/>
      <sz val="11"/>
      <color theme="4"/>
      <name val="Segoe UI Black"/>
      <family val="2"/>
    </font>
  </fonts>
  <fills count="7">
    <fill>
      <patternFill patternType="none"/>
    </fill>
    <fill>
      <patternFill patternType="gray125"/>
    </fill>
    <fill>
      <patternFill patternType="solid">
        <fgColor rgb="FF217346"/>
        <bgColor indexed="64"/>
      </patternFill>
    </fill>
    <fill>
      <patternFill patternType="solid">
        <fgColor rgb="FF339966"/>
        <bgColor indexed="64"/>
      </patternFill>
    </fill>
    <fill>
      <patternFill patternType="solid">
        <fgColor theme="0" tint="-4.9989318521683403E-2"/>
        <bgColor indexed="64"/>
      </patternFill>
    </fill>
    <fill>
      <patternFill patternType="solid">
        <fgColor rgb="FFFFFF99"/>
        <bgColor indexed="64"/>
      </patternFill>
    </fill>
    <fill>
      <patternFill patternType="solid">
        <fgColor theme="0" tint="-0.14999847407452621"/>
        <bgColor theme="0" tint="-0.14999847407452621"/>
      </patternFill>
    </fill>
  </fills>
  <borders count="14">
    <border>
      <left/>
      <right/>
      <top/>
      <bottom/>
      <diagonal/>
    </border>
    <border>
      <left style="thin">
        <color rgb="FFB2B2B2"/>
      </left>
      <right style="thin">
        <color rgb="FFB2B2B2"/>
      </right>
      <top style="thin">
        <color rgb="FFB2B2B2"/>
      </top>
      <bottom style="thin">
        <color rgb="FFB2B2B2"/>
      </bottom>
      <diagonal/>
    </border>
    <border>
      <left style="thick">
        <color rgb="FFF4B183"/>
      </left>
      <right style="thick">
        <color rgb="FFF4B183"/>
      </right>
      <top style="thick">
        <color rgb="FFF4B183"/>
      </top>
      <bottom style="thick">
        <color rgb="FFF4B183"/>
      </bottom>
      <diagonal/>
    </border>
    <border>
      <left/>
      <right/>
      <top/>
      <bottom style="medium">
        <color theme="1"/>
      </bottom>
      <diagonal/>
    </border>
    <border>
      <left/>
      <right/>
      <top style="medium">
        <color theme="1"/>
      </top>
      <bottom/>
      <diagonal/>
    </border>
    <border>
      <left/>
      <right/>
      <top style="thin">
        <color rgb="FFB2B2B2"/>
      </top>
      <bottom style="thin">
        <color rgb="FFB2B2B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rgb="FFB2B2B2"/>
      </left>
      <right style="thin">
        <color rgb="FFB2B2B2"/>
      </right>
      <top/>
      <bottom style="thin">
        <color rgb="FFB2B2B2"/>
      </bottom>
      <diagonal/>
    </border>
    <border>
      <left style="thin">
        <color theme="0" tint="-0.499984740745262"/>
      </left>
      <right style="thin">
        <color theme="0" tint="-0.499984740745262"/>
      </right>
      <top style="thin">
        <color theme="0" tint="-0.499984740745262"/>
      </top>
      <bottom/>
      <diagonal/>
    </border>
    <border>
      <left/>
      <right style="thin">
        <color theme="0" tint="-0.499984740745262"/>
      </right>
      <top style="thin">
        <color theme="0" tint="-0.499984740745262"/>
      </top>
      <bottom/>
      <diagonal/>
    </border>
    <border>
      <left/>
      <right style="thin">
        <color rgb="FFB2B2B2"/>
      </right>
      <top style="thin">
        <color rgb="FFB2B2B2"/>
      </top>
      <bottom style="thin">
        <color rgb="FFB2B2B2"/>
      </bottom>
      <diagonal/>
    </border>
    <border>
      <left/>
      <right style="thick">
        <color rgb="FFF4B183"/>
      </right>
      <top style="thick">
        <color rgb="FFF4B183"/>
      </top>
      <bottom style="thick">
        <color rgb="FFF4B183"/>
      </bottom>
      <diagonal/>
    </border>
    <border>
      <left style="thin">
        <color indexed="64"/>
      </left>
      <right style="thin">
        <color indexed="64"/>
      </right>
      <top style="thin">
        <color indexed="64"/>
      </top>
      <bottom style="thin">
        <color indexed="64"/>
      </bottom>
      <diagonal/>
    </border>
    <border>
      <left/>
      <right style="thin">
        <color theme="0" tint="-0.499984740745262"/>
      </right>
      <top style="thin">
        <color theme="0" tint="-0.499984740745262"/>
      </top>
      <bottom style="thin">
        <color theme="0" tint="-0.499984740745262"/>
      </bottom>
      <diagonal/>
    </border>
  </borders>
  <cellStyleXfs count="21">
    <xf numFmtId="0" fontId="0" fillId="0" borderId="0"/>
    <xf numFmtId="0" fontId="9" fillId="0" borderId="0" applyFill="0" applyBorder="0">
      <alignment wrapText="1"/>
    </xf>
    <xf numFmtId="0" fontId="10" fillId="0" borderId="0"/>
    <xf numFmtId="0" fontId="11" fillId="2" borderId="0" applyNumberFormat="0" applyBorder="0" applyProtection="0">
      <alignment horizontal="left" indent="1"/>
    </xf>
    <xf numFmtId="0" fontId="12" fillId="2" borderId="0" applyNumberFormat="0" applyProtection="0">
      <alignment horizontal="left" wrapText="1" indent="4"/>
    </xf>
    <xf numFmtId="0" fontId="9" fillId="2" borderId="0" applyNumberFormat="0" applyProtection="0">
      <alignment horizontal="left" wrapText="1" indent="4"/>
    </xf>
    <xf numFmtId="0" fontId="13" fillId="0" borderId="0"/>
    <xf numFmtId="0" fontId="13" fillId="3" borderId="0" applyNumberFormat="0" applyBorder="0" applyProtection="0"/>
    <xf numFmtId="0" fontId="10" fillId="4" borderId="0"/>
    <xf numFmtId="0" fontId="10" fillId="5" borderId="1"/>
    <xf numFmtId="0" fontId="10" fillId="4" borderId="2"/>
    <xf numFmtId="0" fontId="8" fillId="0" borderId="0"/>
    <xf numFmtId="0" fontId="8" fillId="4" borderId="0"/>
    <xf numFmtId="0" fontId="8" fillId="5" borderId="1"/>
    <xf numFmtId="0" fontId="8" fillId="4" borderId="2"/>
    <xf numFmtId="0" fontId="7" fillId="0" borderId="0"/>
    <xf numFmtId="0" fontId="28" fillId="0" borderId="0" applyNumberFormat="0" applyFill="0" applyBorder="0" applyAlignment="0" applyProtection="0"/>
    <xf numFmtId="0" fontId="6" fillId="4" borderId="0"/>
    <xf numFmtId="0" fontId="6" fillId="5" borderId="1"/>
    <xf numFmtId="0" fontId="6" fillId="4" borderId="2"/>
    <xf numFmtId="44" fontId="21" fillId="0" borderId="0" applyFont="0" applyFill="0" applyBorder="0" applyAlignment="0" applyProtection="0"/>
  </cellStyleXfs>
  <cellXfs count="148">
    <xf numFmtId="0" fontId="0" fillId="0" borderId="0" xfId="0"/>
    <xf numFmtId="0" fontId="10" fillId="0" borderId="0" xfId="2"/>
    <xf numFmtId="0" fontId="12" fillId="2" borderId="0" xfId="4">
      <alignment horizontal="left" wrapText="1" indent="4"/>
    </xf>
    <xf numFmtId="0" fontId="9" fillId="2" borderId="0" xfId="5">
      <alignment horizontal="left" wrapText="1" indent="4"/>
    </xf>
    <xf numFmtId="0" fontId="10" fillId="0" borderId="0" xfId="2" applyAlignment="1">
      <alignment horizontal="left"/>
    </xf>
    <xf numFmtId="0" fontId="14" fillId="0" borderId="0" xfId="0" applyFont="1"/>
    <xf numFmtId="0" fontId="14" fillId="0" borderId="0" xfId="0" applyFont="1" applyAlignment="1">
      <alignment horizontal="left" indent="1"/>
    </xf>
    <xf numFmtId="0" fontId="13" fillId="3" borderId="0" xfId="7"/>
    <xf numFmtId="0" fontId="13" fillId="3" borderId="0" xfId="7" applyAlignment="1">
      <alignment horizontal="right"/>
    </xf>
    <xf numFmtId="0" fontId="13" fillId="0" borderId="0" xfId="6"/>
    <xf numFmtId="0" fontId="15" fillId="0" borderId="0" xfId="2" applyFont="1" applyAlignment="1">
      <alignment horizontal="left"/>
    </xf>
    <xf numFmtId="0" fontId="13" fillId="3" borderId="0" xfId="7" applyAlignment="1">
      <alignment horizontal="left"/>
    </xf>
    <xf numFmtId="14" fontId="0" fillId="0" borderId="0" xfId="0" applyNumberFormat="1"/>
    <xf numFmtId="0" fontId="8" fillId="4" borderId="0" xfId="12"/>
    <xf numFmtId="0" fontId="16" fillId="0" borderId="0" xfId="2" applyFont="1"/>
    <xf numFmtId="0" fontId="16" fillId="0" borderId="0" xfId="2" applyFont="1" applyAlignment="1">
      <alignment wrapText="1"/>
    </xf>
    <xf numFmtId="0" fontId="16" fillId="0" borderId="0" xfId="0" applyFont="1"/>
    <xf numFmtId="0" fontId="16" fillId="0" borderId="0" xfId="2" applyFont="1" applyAlignment="1">
      <alignment horizontal="left"/>
    </xf>
    <xf numFmtId="0" fontId="16" fillId="0" borderId="0" xfId="6" applyFont="1"/>
    <xf numFmtId="0" fontId="17" fillId="0" borderId="0" xfId="0" applyFont="1"/>
    <xf numFmtId="0" fontId="18" fillId="0" borderId="0" xfId="2" applyFont="1"/>
    <xf numFmtId="0" fontId="20" fillId="0" borderId="0" xfId="0" applyFont="1"/>
    <xf numFmtId="0" fontId="18" fillId="0" borderId="0" xfId="2" applyFont="1" applyAlignment="1">
      <alignment horizontal="left"/>
    </xf>
    <xf numFmtId="0" fontId="21" fillId="0" borderId="0" xfId="0" applyFont="1"/>
    <xf numFmtId="0" fontId="19" fillId="0" borderId="0" xfId="6" applyFont="1"/>
    <xf numFmtId="0" fontId="15" fillId="0" borderId="0" xfId="2" applyFont="1" applyAlignment="1">
      <alignment horizontal="right"/>
    </xf>
    <xf numFmtId="0" fontId="13" fillId="0" borderId="0" xfId="2" applyFont="1" applyAlignment="1">
      <alignment horizontal="left"/>
    </xf>
    <xf numFmtId="0" fontId="23" fillId="0" borderId="0" xfId="2" applyFont="1" applyAlignment="1">
      <alignment horizontal="left"/>
    </xf>
    <xf numFmtId="0" fontId="24" fillId="0" borderId="0" xfId="0" applyFont="1"/>
    <xf numFmtId="0" fontId="22" fillId="0" borderId="0" xfId="0" applyFont="1"/>
    <xf numFmtId="0" fontId="22" fillId="0" borderId="0" xfId="0" quotePrefix="1" applyFont="1"/>
    <xf numFmtId="0" fontId="22" fillId="0" borderId="0" xfId="0" applyFont="1" applyAlignment="1">
      <alignment wrapText="1"/>
    </xf>
    <xf numFmtId="0" fontId="25" fillId="3" borderId="0" xfId="7" applyFont="1" applyAlignment="1">
      <alignment horizontal="centerContinuous"/>
    </xf>
    <xf numFmtId="0" fontId="25" fillId="3" borderId="0" xfId="7" applyFont="1" applyAlignment="1">
      <alignment horizontal="left"/>
    </xf>
    <xf numFmtId="0" fontId="25" fillId="3" borderId="0" xfId="7" applyFont="1" applyAlignment="1">
      <alignment horizontal="right"/>
    </xf>
    <xf numFmtId="0" fontId="25" fillId="3" borderId="0" xfId="7" applyFont="1" applyAlignment="1">
      <alignment horizontal="centerContinuous" vertical="center"/>
    </xf>
    <xf numFmtId="0" fontId="0" fillId="0" borderId="0" xfId="0" applyAlignment="1">
      <alignment vertical="center"/>
    </xf>
    <xf numFmtId="0" fontId="25" fillId="3" borderId="0" xfId="7" applyFont="1"/>
    <xf numFmtId="0" fontId="7" fillId="0" borderId="0" xfId="15"/>
    <xf numFmtId="0" fontId="26" fillId="0" borderId="0" xfId="15" applyFont="1"/>
    <xf numFmtId="0" fontId="27" fillId="0" borderId="0" xfId="15" applyFont="1"/>
    <xf numFmtId="0" fontId="27" fillId="0" borderId="0" xfId="15" applyFont="1" applyAlignment="1">
      <alignment vertical="center"/>
    </xf>
    <xf numFmtId="0" fontId="13" fillId="0" borderId="0" xfId="6" applyAlignment="1">
      <alignment wrapText="1"/>
    </xf>
    <xf numFmtId="0" fontId="7" fillId="0" borderId="0" xfId="2" applyFont="1"/>
    <xf numFmtId="0" fontId="7" fillId="0" borderId="0" xfId="2" applyFont="1" applyAlignment="1">
      <alignment horizontal="left"/>
    </xf>
    <xf numFmtId="0" fontId="7" fillId="0" borderId="0" xfId="2" applyFont="1" applyAlignment="1">
      <alignment horizontal="right"/>
    </xf>
    <xf numFmtId="0" fontId="7" fillId="4" borderId="0" xfId="8" applyFont="1"/>
    <xf numFmtId="0" fontId="7" fillId="4" borderId="0" xfId="8" applyFont="1" applyAlignment="1">
      <alignment horizontal="right"/>
    </xf>
    <xf numFmtId="0" fontId="7" fillId="5" borderId="1" xfId="9" applyFont="1" applyAlignment="1">
      <alignment horizontal="right"/>
    </xf>
    <xf numFmtId="0" fontId="14" fillId="0" borderId="0" xfId="0" applyFont="1" applyAlignment="1">
      <alignment horizontal="center"/>
    </xf>
    <xf numFmtId="0" fontId="7" fillId="0" borderId="0" xfId="2" applyFont="1" applyAlignment="1">
      <alignment horizontal="left" indent="1"/>
    </xf>
    <xf numFmtId="0" fontId="14" fillId="0" borderId="0" xfId="0" applyFont="1" applyAlignment="1">
      <alignment horizontal="left" indent="2"/>
    </xf>
    <xf numFmtId="0" fontId="7" fillId="4" borderId="2" xfId="10" applyFont="1"/>
    <xf numFmtId="0" fontId="7" fillId="5" borderId="1" xfId="9" applyFont="1" applyAlignment="1">
      <alignment horizontal="right" vertical="center"/>
    </xf>
    <xf numFmtId="0" fontId="7" fillId="0" borderId="0" xfId="2" applyFont="1" applyAlignment="1">
      <alignment horizontal="center"/>
    </xf>
    <xf numFmtId="0" fontId="7" fillId="0" borderId="0" xfId="2" quotePrefix="1" applyFont="1" applyAlignment="1">
      <alignment horizontal="left"/>
    </xf>
    <xf numFmtId="0" fontId="7" fillId="0" borderId="0" xfId="2" applyFont="1" applyAlignment="1">
      <alignment horizontal="left" indent="2"/>
    </xf>
    <xf numFmtId="0" fontId="7" fillId="0" borderId="0" xfId="11" applyFont="1" applyAlignment="1">
      <alignment horizontal="left" indent="1"/>
    </xf>
    <xf numFmtId="0" fontId="7" fillId="4" borderId="2" xfId="14" applyFont="1"/>
    <xf numFmtId="0" fontId="7" fillId="4" borderId="2" xfId="10" applyFont="1" applyAlignment="1">
      <alignment horizontal="center" vertical="center"/>
    </xf>
    <xf numFmtId="0" fontId="7" fillId="4" borderId="2" xfId="10" applyFont="1" applyAlignment="1">
      <alignment horizontal="left"/>
    </xf>
    <xf numFmtId="0" fontId="10" fillId="5" borderId="1" xfId="9"/>
    <xf numFmtId="0" fontId="0" fillId="0" borderId="3" xfId="0" applyBorder="1" applyAlignment="1">
      <alignment vertical="center"/>
    </xf>
    <xf numFmtId="0" fontId="6" fillId="5" borderId="1" xfId="18"/>
    <xf numFmtId="0" fontId="29" fillId="0" borderId="0" xfId="0" applyFont="1"/>
    <xf numFmtId="0" fontId="6" fillId="4" borderId="0" xfId="17"/>
    <xf numFmtId="0" fontId="28" fillId="0" borderId="0" xfId="16"/>
    <xf numFmtId="0" fontId="30" fillId="2" borderId="0" xfId="3" applyFont="1">
      <alignment horizontal="left" indent="1"/>
    </xf>
    <xf numFmtId="0" fontId="25" fillId="3" borderId="4" xfId="7" applyFont="1" applyBorder="1" applyAlignment="1">
      <alignment horizontal="left" vertical="center"/>
    </xf>
    <xf numFmtId="0" fontId="25" fillId="3" borderId="4" xfId="7" applyFont="1" applyBorder="1" applyAlignment="1">
      <alignment horizontal="right" vertical="center"/>
    </xf>
    <xf numFmtId="0" fontId="0" fillId="6" borderId="4" xfId="0" applyFill="1" applyBorder="1" applyAlignment="1">
      <alignment vertical="center"/>
    </xf>
    <xf numFmtId="0" fontId="31" fillId="0" borderId="0" xfId="0" applyFont="1" applyAlignment="1">
      <alignment horizontal="centerContinuous" vertical="center"/>
    </xf>
    <xf numFmtId="0" fontId="21" fillId="0" borderId="0" xfId="0" applyFont="1" applyAlignment="1">
      <alignment horizontal="centerContinuous"/>
    </xf>
    <xf numFmtId="0" fontId="13" fillId="3" borderId="0" xfId="7" applyAlignment="1">
      <alignment horizontal="center" vertical="center"/>
    </xf>
    <xf numFmtId="0" fontId="32" fillId="0" borderId="0" xfId="6" applyFont="1"/>
    <xf numFmtId="0" fontId="33" fillId="0" borderId="0" xfId="11" applyFont="1"/>
    <xf numFmtId="0" fontId="34" fillId="0" borderId="0" xfId="0" applyFont="1" applyAlignment="1">
      <alignment horizontal="centerContinuous" vertical="center"/>
    </xf>
    <xf numFmtId="0" fontId="35" fillId="0" borderId="0" xfId="11" applyFont="1" applyAlignment="1">
      <alignment horizontal="centerContinuous"/>
    </xf>
    <xf numFmtId="0" fontId="35" fillId="0" borderId="0" xfId="11" applyFont="1"/>
    <xf numFmtId="0" fontId="32" fillId="3" borderId="0" xfId="7" applyFont="1"/>
    <xf numFmtId="0" fontId="32" fillId="3" borderId="0" xfId="7" applyFont="1" applyAlignment="1">
      <alignment horizontal="right"/>
    </xf>
    <xf numFmtId="0" fontId="36" fillId="0" borderId="0" xfId="11" applyFont="1"/>
    <xf numFmtId="0" fontId="35" fillId="0" borderId="0" xfId="11" applyFont="1" applyAlignment="1">
      <alignment horizontal="left"/>
    </xf>
    <xf numFmtId="0" fontId="36" fillId="0" borderId="0" xfId="11" applyFont="1" applyAlignment="1">
      <alignment horizontal="left"/>
    </xf>
    <xf numFmtId="0" fontId="37" fillId="0" borderId="0" xfId="0" applyFont="1"/>
    <xf numFmtId="0" fontId="38" fillId="0" borderId="0" xfId="0" applyFont="1"/>
    <xf numFmtId="0" fontId="35" fillId="4" borderId="2" xfId="14" applyFont="1"/>
    <xf numFmtId="0" fontId="35" fillId="5" borderId="1" xfId="13" applyFont="1" applyAlignment="1">
      <alignment horizontal="right"/>
    </xf>
    <xf numFmtId="0" fontId="7" fillId="0" borderId="0" xfId="2" applyFont="1" applyAlignment="1">
      <alignment horizontal="centerContinuous"/>
    </xf>
    <xf numFmtId="0" fontId="0" fillId="0" borderId="0" xfId="0" applyAlignment="1">
      <alignment horizontal="centerContinuous"/>
    </xf>
    <xf numFmtId="0" fontId="13" fillId="0" borderId="0" xfId="6" applyAlignment="1">
      <alignment horizontal="centerContinuous"/>
    </xf>
    <xf numFmtId="0" fontId="10" fillId="4" borderId="2" xfId="10"/>
    <xf numFmtId="0" fontId="6" fillId="4" borderId="2" xfId="10" applyFont="1" applyAlignment="1">
      <alignment horizontal="left"/>
    </xf>
    <xf numFmtId="0" fontId="0" fillId="0" borderId="0" xfId="0" applyAlignment="1">
      <alignment horizontal="center" vertical="center"/>
    </xf>
    <xf numFmtId="0" fontId="0" fillId="0" borderId="0" xfId="0" applyAlignment="1">
      <alignment horizontal="centerContinuous" vertical="center"/>
    </xf>
    <xf numFmtId="0" fontId="13" fillId="0" borderId="0" xfId="2" applyFont="1" applyAlignment="1">
      <alignment horizontal="left" wrapText="1"/>
    </xf>
    <xf numFmtId="0" fontId="16" fillId="0" borderId="0" xfId="0" applyFont="1" applyAlignment="1">
      <alignment wrapText="1"/>
    </xf>
    <xf numFmtId="0" fontId="16" fillId="0" borderId="0" xfId="2" applyFont="1" applyAlignment="1">
      <alignment horizontal="left" wrapText="1"/>
    </xf>
    <xf numFmtId="0" fontId="40" fillId="0" borderId="0" xfId="0" applyFont="1"/>
    <xf numFmtId="0" fontId="34" fillId="0" borderId="0" xfId="0" applyFont="1" applyAlignment="1">
      <alignment horizontal="center" vertical="center"/>
    </xf>
    <xf numFmtId="0" fontId="34"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xf>
    <xf numFmtId="0" fontId="6" fillId="5" borderId="5" xfId="18" applyBorder="1"/>
    <xf numFmtId="0" fontId="6" fillId="4" borderId="6" xfId="17" applyBorder="1" applyAlignment="1">
      <alignment horizontal="left"/>
    </xf>
    <xf numFmtId="0" fontId="10" fillId="4" borderId="6" xfId="8" applyBorder="1"/>
    <xf numFmtId="0" fontId="8" fillId="4" borderId="2" xfId="14"/>
    <xf numFmtId="0" fontId="35" fillId="5" borderId="7" xfId="13" applyFont="1" applyBorder="1"/>
    <xf numFmtId="0" fontId="35" fillId="4" borderId="6" xfId="12" applyFont="1" applyBorder="1"/>
    <xf numFmtId="0" fontId="35" fillId="4" borderId="8" xfId="12" applyFont="1" applyBorder="1"/>
    <xf numFmtId="0" fontId="8" fillId="5" borderId="10" xfId="13" applyBorder="1"/>
    <xf numFmtId="0" fontId="7" fillId="5" borderId="7" xfId="9" applyFont="1" applyBorder="1" applyAlignment="1">
      <alignment horizontal="right"/>
    </xf>
    <xf numFmtId="0" fontId="7" fillId="4" borderId="6" xfId="8" applyFont="1" applyBorder="1"/>
    <xf numFmtId="0" fontId="7" fillId="4" borderId="6" xfId="8" applyFont="1" applyBorder="1" applyAlignment="1">
      <alignment horizontal="right"/>
    </xf>
    <xf numFmtId="164" fontId="7" fillId="5" borderId="10" xfId="9" applyNumberFormat="1" applyFont="1" applyBorder="1" applyAlignment="1">
      <alignment horizontal="right"/>
    </xf>
    <xf numFmtId="0" fontId="10" fillId="4" borderId="11" xfId="10" applyBorder="1"/>
    <xf numFmtId="0" fontId="10" fillId="5" borderId="10" xfId="9" applyBorder="1"/>
    <xf numFmtId="164" fontId="10" fillId="4" borderId="11" xfId="10" applyNumberFormat="1" applyBorder="1"/>
    <xf numFmtId="166" fontId="7" fillId="5" borderId="10" xfId="9" applyNumberFormat="1" applyFont="1" applyBorder="1" applyAlignment="1">
      <alignment horizontal="right"/>
    </xf>
    <xf numFmtId="165" fontId="10" fillId="5" borderId="10" xfId="9" applyNumberFormat="1" applyBorder="1"/>
    <xf numFmtId="0" fontId="6" fillId="4" borderId="6" xfId="8" applyFont="1" applyBorder="1"/>
    <xf numFmtId="164" fontId="10" fillId="4" borderId="6" xfId="8" applyNumberFormat="1" applyBorder="1"/>
    <xf numFmtId="165" fontId="10" fillId="4" borderId="6" xfId="8" applyNumberFormat="1" applyBorder="1"/>
    <xf numFmtId="0" fontId="10" fillId="4" borderId="1" xfId="8" applyBorder="1"/>
    <xf numFmtId="0" fontId="15" fillId="0" borderId="9" xfId="11" applyFont="1" applyBorder="1" applyAlignment="1">
      <alignment horizontal="left"/>
    </xf>
    <xf numFmtId="0" fontId="35" fillId="5" borderId="1" xfId="13" applyFont="1"/>
    <xf numFmtId="0" fontId="13" fillId="0" borderId="0" xfId="11" applyFont="1" applyAlignment="1">
      <alignment horizontal="left" wrapText="1"/>
    </xf>
    <xf numFmtId="0" fontId="5" fillId="4" borderId="6" xfId="17" applyFont="1" applyBorder="1" applyAlignment="1">
      <alignment horizontal="left"/>
    </xf>
    <xf numFmtId="0" fontId="5" fillId="4" borderId="6" xfId="12" applyFont="1" applyBorder="1"/>
    <xf numFmtId="0" fontId="5" fillId="4" borderId="6" xfId="8" applyFont="1" applyBorder="1"/>
    <xf numFmtId="0" fontId="4" fillId="4" borderId="6" xfId="8" applyFont="1" applyBorder="1"/>
    <xf numFmtId="0" fontId="3" fillId="4" borderId="6" xfId="8" applyFont="1" applyBorder="1"/>
    <xf numFmtId="14" fontId="7" fillId="5" borderId="10" xfId="9" applyNumberFormat="1" applyFont="1" applyBorder="1" applyAlignment="1">
      <alignment horizontal="right"/>
    </xf>
    <xf numFmtId="167" fontId="7" fillId="5" borderId="10" xfId="9" applyNumberFormat="1" applyFont="1" applyBorder="1" applyAlignment="1">
      <alignment horizontal="right"/>
    </xf>
    <xf numFmtId="0" fontId="2" fillId="4" borderId="1" xfId="8" applyFont="1" applyBorder="1"/>
    <xf numFmtId="168" fontId="0" fillId="6" borderId="4" xfId="0" applyNumberFormat="1" applyFill="1" applyBorder="1" applyAlignment="1">
      <alignment vertical="center"/>
    </xf>
    <xf numFmtId="168" fontId="0" fillId="0" borderId="3" xfId="0" applyNumberFormat="1" applyBorder="1" applyAlignment="1">
      <alignment vertical="center"/>
    </xf>
    <xf numFmtId="168" fontId="10" fillId="5" borderId="1" xfId="9" applyNumberFormat="1" applyAlignment="1">
      <alignment vertical="center"/>
    </xf>
    <xf numFmtId="44" fontId="10" fillId="5" borderId="1" xfId="20" applyFont="1" applyFill="1" applyBorder="1" applyAlignment="1">
      <alignment vertical="center"/>
    </xf>
    <xf numFmtId="44" fontId="0" fillId="0" borderId="0" xfId="20" applyFont="1" applyAlignment="1">
      <alignment vertical="center"/>
    </xf>
    <xf numFmtId="0" fontId="2" fillId="4" borderId="6" xfId="8" applyFont="1" applyBorder="1"/>
    <xf numFmtId="0" fontId="2" fillId="4" borderId="0" xfId="8" applyFont="1"/>
    <xf numFmtId="0" fontId="5" fillId="4" borderId="0" xfId="12" applyFont="1"/>
    <xf numFmtId="0" fontId="35" fillId="4" borderId="0" xfId="12" applyFont="1"/>
    <xf numFmtId="0" fontId="1" fillId="4" borderId="0" xfId="8" applyFont="1"/>
    <xf numFmtId="0" fontId="7" fillId="4" borderId="13" xfId="8" applyFont="1" applyBorder="1" applyAlignment="1">
      <alignment horizontal="right"/>
    </xf>
    <xf numFmtId="0" fontId="1" fillId="4" borderId="12" xfId="8" applyFont="1" applyBorder="1"/>
    <xf numFmtId="0" fontId="7" fillId="4" borderId="12" xfId="8" applyFont="1" applyBorder="1"/>
  </cellXfs>
  <cellStyles count="21">
    <cellStyle name="GrayCell" xfId="8" xr:uid="{00000000-0005-0000-0000-000000000000}"/>
    <cellStyle name="GrayCell 2" xfId="12" xr:uid="{00000000-0005-0000-0000-000001000000}"/>
    <cellStyle name="GrayCell 2 2" xfId="17" xr:uid="{00000000-0005-0000-0000-000002000000}"/>
    <cellStyle name="Heading 1 2" xfId="4" xr:uid="{00000000-0005-0000-0000-000003000000}"/>
    <cellStyle name="Heading 2 2" xfId="5" xr:uid="{00000000-0005-0000-0000-000004000000}"/>
    <cellStyle name="Heading 3 2" xfId="7" xr:uid="{00000000-0005-0000-0000-000005000000}"/>
    <cellStyle name="Lien hypertexte" xfId="16" builtinId="8"/>
    <cellStyle name="Monétaire" xfId="20" builtinId="4"/>
    <cellStyle name="Normal" xfId="0" builtinId="0"/>
    <cellStyle name="Normal 2" xfId="2" xr:uid="{00000000-0005-0000-0000-000008000000}"/>
    <cellStyle name="Normal 2 2" xfId="15" xr:uid="{00000000-0005-0000-0000-000009000000}"/>
    <cellStyle name="Normal 3" xfId="11" xr:uid="{00000000-0005-0000-0000-00000A000000}"/>
    <cellStyle name="OrangeBorder" xfId="10" xr:uid="{00000000-0005-0000-0000-00000B000000}"/>
    <cellStyle name="OrangeBorder 2" xfId="14" xr:uid="{00000000-0005-0000-0000-00000C000000}"/>
    <cellStyle name="OrangeBorder 3" xfId="19" xr:uid="{00000000-0005-0000-0000-00000D000000}"/>
    <cellStyle name="Start Text" xfId="1" xr:uid="{00000000-0005-0000-0000-00000E000000}"/>
    <cellStyle name="Title 2" xfId="3" xr:uid="{00000000-0005-0000-0000-00000F000000}"/>
    <cellStyle name="YellowCell" xfId="9" xr:uid="{00000000-0005-0000-0000-000010000000}"/>
    <cellStyle name="YellowCell 2" xfId="13" xr:uid="{00000000-0005-0000-0000-000011000000}"/>
    <cellStyle name="YellowCell 2 2" xfId="18" xr:uid="{00000000-0005-0000-0000-000012000000}"/>
    <cellStyle name="z A Column text" xfId="6" xr:uid="{00000000-0005-0000-0000-000013000000}"/>
  </cellStyles>
  <dxfs count="22">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0"/>
        <name val="Calibri"/>
        <scheme val="minor"/>
      </font>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0"/>
      </font>
      <fill>
        <patternFill patternType="solid">
          <fgColor theme="9"/>
          <bgColor theme="9"/>
        </patternFill>
      </fill>
    </dxf>
    <dxf>
      <font>
        <b/>
        <color theme="0"/>
      </font>
      <fill>
        <patternFill patternType="solid">
          <fgColor theme="9"/>
          <bgColor theme="9"/>
        </patternFill>
      </fill>
    </dxf>
    <dxf>
      <fill>
        <patternFill>
          <bgColor rgb="FF227447"/>
        </patternFill>
      </fill>
      <border>
        <top style="double">
          <color theme="1"/>
        </top>
      </border>
    </dxf>
    <dxf>
      <font>
        <b/>
        <color theme="0"/>
      </font>
      <fill>
        <patternFill patternType="solid">
          <fgColor theme="9"/>
          <bgColor rgb="FF227447"/>
        </patternFill>
      </fill>
      <border>
        <bottom style="medium">
          <color theme="1"/>
        </bottom>
      </border>
    </dxf>
    <dxf>
      <font>
        <color theme="1"/>
      </font>
      <border>
        <top style="medium">
          <color theme="1"/>
        </top>
        <bottom style="medium">
          <color theme="1"/>
        </bottom>
      </border>
    </dxf>
  </dxfs>
  <tableStyles count="1" defaultTableStyle="TableStyleMedium2" defaultPivotStyle="PivotStyleLight16">
    <tableStyle name="Exccel UI" pivot="0" count="7" xr9:uid="{00000000-0011-0000-FFFF-FFFF00000000}">
      <tableStyleElement type="wholeTable" dxfId="21"/>
      <tableStyleElement type="headerRow" dxfId="20"/>
      <tableStyleElement type="totalRow" dxfId="19"/>
      <tableStyleElement type="firstColumn" dxfId="18"/>
      <tableStyleElement type="lastColumn" dxfId="17"/>
      <tableStyleElement type="firstRowStripe" dxfId="16"/>
      <tableStyleElement type="firstColumnStripe" dxfId="15"/>
    </tableStyle>
  </tableStyles>
  <colors>
    <mruColors>
      <color rgb="FFF4B183"/>
      <color rgb="FFE2F0D9"/>
      <color rgb="FF3B3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hyperlink" Target="#Basics!A1"/><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5.svg"/><Relationship Id="rId13" Type="http://schemas.openxmlformats.org/officeDocument/2006/relationships/image" Target="../media/image6.png"/><Relationship Id="rId3" Type="http://schemas.openxmlformats.org/officeDocument/2006/relationships/hyperlink" Target="#Start!A1"/><Relationship Id="rId7" Type="http://schemas.openxmlformats.org/officeDocument/2006/relationships/image" Target="../media/image4.png"/><Relationship Id="rId12" Type="http://schemas.openxmlformats.org/officeDocument/2006/relationships/hyperlink" Target="https://go.microsoft.com/fwlink/?linkid=859377" TargetMode="External"/><Relationship Id="rId2" Type="http://schemas.openxmlformats.org/officeDocument/2006/relationships/hyperlink" Target="#'Introduction to Functions'!A1"/><Relationship Id="rId16" Type="http://schemas.openxmlformats.org/officeDocument/2006/relationships/image" Target="../media/image9.svg"/><Relationship Id="rId1" Type="http://schemas.openxmlformats.org/officeDocument/2006/relationships/hyperlink" Target="#Basics!A60"/><Relationship Id="rId6" Type="http://schemas.openxmlformats.org/officeDocument/2006/relationships/hyperlink" Target="https://go.microsoft.com/fwlink/?linkid=858265" TargetMode="External"/><Relationship Id="rId11" Type="http://schemas.openxmlformats.org/officeDocument/2006/relationships/hyperlink" Target="https://go.microsoft.com/fwlink/?linkid=859375" TargetMode="External"/><Relationship Id="rId5" Type="http://schemas.openxmlformats.org/officeDocument/2006/relationships/image" Target="../media/image3.svg"/><Relationship Id="rId15" Type="http://schemas.openxmlformats.org/officeDocument/2006/relationships/image" Target="../media/image8.png"/><Relationship Id="rId10" Type="http://schemas.openxmlformats.org/officeDocument/2006/relationships/hyperlink" Target="https://go.microsoft.com/fwlink/?linkid=859373" TargetMode="External"/><Relationship Id="rId4" Type="http://schemas.openxmlformats.org/officeDocument/2006/relationships/image" Target="../media/image2.png"/><Relationship Id="rId9" Type="http://schemas.openxmlformats.org/officeDocument/2006/relationships/hyperlink" Target="https://go.microsoft.com/fwlink/?linkid=859369" TargetMode="External"/><Relationship Id="rId14" Type="http://schemas.openxmlformats.org/officeDocument/2006/relationships/image" Target="../media/image7.svg"/></Relationships>
</file>

<file path=xl/drawings/_rels/drawing3.xml.rels><?xml version="1.0" encoding="UTF-8" standalone="yes"?>
<Relationships xmlns="http://schemas.openxmlformats.org/package/2006/relationships"><Relationship Id="rId8" Type="http://schemas.openxmlformats.org/officeDocument/2006/relationships/hyperlink" Target="https://go.microsoft.com/fwlink/?linkid=859391" TargetMode="External"/><Relationship Id="rId13" Type="http://schemas.openxmlformats.org/officeDocument/2006/relationships/image" Target="../media/image7.svg"/><Relationship Id="rId3" Type="http://schemas.openxmlformats.org/officeDocument/2006/relationships/hyperlink" Target="https://go.microsoft.com/fwlink/?linkid=859389" TargetMode="External"/><Relationship Id="rId7" Type="http://schemas.openxmlformats.org/officeDocument/2006/relationships/hyperlink" Target="https://go.microsoft.com/fwlink/?linkid=858238" TargetMode="External"/><Relationship Id="rId12" Type="http://schemas.openxmlformats.org/officeDocument/2006/relationships/image" Target="../media/image6.png"/><Relationship Id="rId17" Type="http://schemas.openxmlformats.org/officeDocument/2006/relationships/image" Target="../media/image13.png"/><Relationship Id="rId2" Type="http://schemas.openxmlformats.org/officeDocument/2006/relationships/hyperlink" Target="#AVERAGE!A1"/><Relationship Id="rId16" Type="http://schemas.openxmlformats.org/officeDocument/2006/relationships/hyperlink" Target="#'Introduction to Functions'!A63"/><Relationship Id="rId1" Type="http://schemas.openxmlformats.org/officeDocument/2006/relationships/hyperlink" Target="#'Introduction to Functions'!A1"/><Relationship Id="rId6" Type="http://schemas.openxmlformats.org/officeDocument/2006/relationships/hyperlink" Target="https://go.microsoft.com/fwlink/?linkid=858233" TargetMode="External"/><Relationship Id="rId11" Type="http://schemas.openxmlformats.org/officeDocument/2006/relationships/image" Target="../media/image12.png"/><Relationship Id="rId5" Type="http://schemas.openxmlformats.org/officeDocument/2006/relationships/image" Target="../media/image5.svg"/><Relationship Id="rId15" Type="http://schemas.openxmlformats.org/officeDocument/2006/relationships/image" Target="../media/image3.svg"/><Relationship Id="rId10" Type="http://schemas.openxmlformats.org/officeDocument/2006/relationships/image" Target="../media/image11.svg"/><Relationship Id="rId4" Type="http://schemas.openxmlformats.org/officeDocument/2006/relationships/image" Target="../media/image4.png"/><Relationship Id="rId9" Type="http://schemas.openxmlformats.org/officeDocument/2006/relationships/image" Target="../media/image10.png"/><Relationship Id="rId14"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hyperlink" Target="https://go.microsoft.com/fwlink/?linkid=859392" TargetMode="External"/><Relationship Id="rId3" Type="http://schemas.openxmlformats.org/officeDocument/2006/relationships/hyperlink" Target="#'Introduction to Functions'!A1"/><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37" TargetMode="External"/><Relationship Id="rId10" Type="http://schemas.openxmlformats.org/officeDocument/2006/relationships/hyperlink" Target="https://go.microsoft.com/fwlink/?linkid=859395" TargetMode="External"/><Relationship Id="rId4" Type="http://schemas.openxmlformats.org/officeDocument/2006/relationships/hyperlink" Target="#'MIN &amp; MAX'!A1"/><Relationship Id="rId9" Type="http://schemas.openxmlformats.org/officeDocument/2006/relationships/hyperlink" Target="https://go.microsoft.com/fwlink/?linkid=859393" TargetMode="External"/></Relationships>
</file>

<file path=xl/drawings/_rels/drawing5.xml.rels><?xml version="1.0" encoding="UTF-8" standalone="yes"?>
<Relationships xmlns="http://schemas.openxmlformats.org/package/2006/relationships"><Relationship Id="rId8" Type="http://schemas.openxmlformats.org/officeDocument/2006/relationships/hyperlink" Target="#AVERAGE!A1"/><Relationship Id="rId3" Type="http://schemas.openxmlformats.org/officeDocument/2006/relationships/image" Target="../media/image5.svg"/><Relationship Id="rId7" Type="http://schemas.openxmlformats.org/officeDocument/2006/relationships/image" Target="../media/image9.svg"/><Relationship Id="rId2" Type="http://schemas.openxmlformats.org/officeDocument/2006/relationships/image" Target="../media/image4.png"/><Relationship Id="rId1" Type="http://schemas.openxmlformats.org/officeDocument/2006/relationships/hyperlink" Target="https://go.microsoft.com/fwlink/?linkid=858240" TargetMode="External"/><Relationship Id="rId6" Type="http://schemas.openxmlformats.org/officeDocument/2006/relationships/image" Target="../media/image8.png"/><Relationship Id="rId5" Type="http://schemas.openxmlformats.org/officeDocument/2006/relationships/hyperlink" Target="https://go.microsoft.com/fwlink/?linkid=859418" TargetMode="External"/><Relationship Id="rId4" Type="http://schemas.openxmlformats.org/officeDocument/2006/relationships/hyperlink" Target="https://go.microsoft.com/fwlink/?linkid=858241" TargetMode="External"/><Relationship Id="rId9" Type="http://schemas.openxmlformats.org/officeDocument/2006/relationships/hyperlink" Target="#'Date &amp; Time'!A1"/></Relationships>
</file>

<file path=xl/drawings/_rels/drawing6.xml.rels><?xml version="1.0" encoding="UTF-8" standalone="yes"?>
<Relationships xmlns="http://schemas.openxmlformats.org/package/2006/relationships"><Relationship Id="rId8" Type="http://schemas.openxmlformats.org/officeDocument/2006/relationships/hyperlink" Target="https://go.microsoft.com/fwlink/?linkid=858253" TargetMode="External"/><Relationship Id="rId13" Type="http://schemas.openxmlformats.org/officeDocument/2006/relationships/image" Target="../media/image14.svg"/><Relationship Id="rId3" Type="http://schemas.openxmlformats.org/officeDocument/2006/relationships/hyperlink" Target="#'MIN &amp; MAX'!A1"/><Relationship Id="rId7" Type="http://schemas.openxmlformats.org/officeDocument/2006/relationships/image" Target="../media/image5.svg"/><Relationship Id="rId12" Type="http://schemas.openxmlformats.org/officeDocument/2006/relationships/image" Target="../media/image11.svg"/><Relationship Id="rId2" Type="http://schemas.openxmlformats.org/officeDocument/2006/relationships/image" Target="../media/image9.svg"/><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image" Target="../media/image10.png"/><Relationship Id="rId5" Type="http://schemas.openxmlformats.org/officeDocument/2006/relationships/hyperlink" Target="https://go.microsoft.com/fwlink/?linkid=858252" TargetMode="External"/><Relationship Id="rId10" Type="http://schemas.openxmlformats.org/officeDocument/2006/relationships/hyperlink" Target="https://go.microsoft.com/fwlink/?linkid=858254" TargetMode="External"/><Relationship Id="rId4" Type="http://schemas.openxmlformats.org/officeDocument/2006/relationships/hyperlink" Target="#'Joining text and numbers'!A1"/><Relationship Id="rId9" Type="http://schemas.openxmlformats.org/officeDocument/2006/relationships/hyperlink" Target="https://go.microsoft.com/fwlink/?linkid=859419" TargetMode="External"/></Relationships>
</file>

<file path=xl/drawings/_rels/drawing7.xml.rels><?xml version="1.0" encoding="UTF-8" standalone="yes"?>
<Relationships xmlns="http://schemas.openxmlformats.org/package/2006/relationships"><Relationship Id="rId8" Type="http://schemas.openxmlformats.org/officeDocument/2006/relationships/hyperlink" Target="https://go.microsoft.com/fwlink/?linkid=858256" TargetMode="External"/><Relationship Id="rId3" Type="http://schemas.openxmlformats.org/officeDocument/2006/relationships/image" Target="../media/image15.png"/><Relationship Id="rId7" Type="http://schemas.openxmlformats.org/officeDocument/2006/relationships/image" Target="../media/image5.svg"/><Relationship Id="rId12" Type="http://schemas.openxmlformats.org/officeDocument/2006/relationships/image" Target="../media/image7.svg"/><Relationship Id="rId2" Type="http://schemas.openxmlformats.org/officeDocument/2006/relationships/hyperlink" Target="#'IF statements'!A1"/><Relationship Id="rId1" Type="http://schemas.openxmlformats.org/officeDocument/2006/relationships/hyperlink" Target="#'Date &amp; Time'!A1"/><Relationship Id="rId6" Type="http://schemas.openxmlformats.org/officeDocument/2006/relationships/image" Target="../media/image4.png"/><Relationship Id="rId11" Type="http://schemas.openxmlformats.org/officeDocument/2006/relationships/image" Target="../media/image6.png"/><Relationship Id="rId5" Type="http://schemas.openxmlformats.org/officeDocument/2006/relationships/hyperlink" Target="https://go.microsoft.com/fwlink/?linkid=858255" TargetMode="External"/><Relationship Id="rId10" Type="http://schemas.openxmlformats.org/officeDocument/2006/relationships/hyperlink" Target="#'Joining text and numbers'!A60"/><Relationship Id="rId4" Type="http://schemas.openxmlformats.org/officeDocument/2006/relationships/image" Target="../media/image16.svg"/><Relationship Id="rId9" Type="http://schemas.openxmlformats.org/officeDocument/2006/relationships/hyperlink" Target="https://go.microsoft.com/fwlink/?linkid=859420" TargetMode="External"/></Relationships>
</file>

<file path=xl/drawings/_rels/drawing8.xml.rels><?xml version="1.0" encoding="UTF-8" standalone="yes"?>
<Relationships xmlns="http://schemas.openxmlformats.org/package/2006/relationships"><Relationship Id="rId8" Type="http://schemas.openxmlformats.org/officeDocument/2006/relationships/image" Target="../media/image9.svg"/><Relationship Id="rId13" Type="http://schemas.openxmlformats.org/officeDocument/2006/relationships/image" Target="../media/image5.svg"/><Relationship Id="rId3" Type="http://schemas.openxmlformats.org/officeDocument/2006/relationships/image" Target="../media/image11.svg"/><Relationship Id="rId7" Type="http://schemas.openxmlformats.org/officeDocument/2006/relationships/image" Target="../media/image8.png"/><Relationship Id="rId12" Type="http://schemas.openxmlformats.org/officeDocument/2006/relationships/image" Target="../media/image4.png"/><Relationship Id="rId17" Type="http://schemas.openxmlformats.org/officeDocument/2006/relationships/image" Target="../media/image19.jpg"/><Relationship Id="rId2" Type="http://schemas.openxmlformats.org/officeDocument/2006/relationships/image" Target="../media/image10.png"/><Relationship Id="rId16" Type="http://schemas.openxmlformats.org/officeDocument/2006/relationships/hyperlink" Target="https://go.microsoft.com/fwlink/?linkid=858260" TargetMode="External"/><Relationship Id="rId1" Type="http://schemas.openxmlformats.org/officeDocument/2006/relationships/hyperlink" Target="#VLOOKUP!A1"/><Relationship Id="rId6" Type="http://schemas.openxmlformats.org/officeDocument/2006/relationships/hyperlink" Target="https://support.office.com/en-us/article/Define-and-use-names-in-formulas-4D0F13AC-53B7-422E-AFD2-ABD7FF379C64" TargetMode="External"/><Relationship Id="rId11" Type="http://schemas.openxmlformats.org/officeDocument/2006/relationships/hyperlink" Target="https://go.microsoft.com/fwlink/?linkid=858258" TargetMode="External"/><Relationship Id="rId5" Type="http://schemas.openxmlformats.org/officeDocument/2006/relationships/image" Target="../media/image18.svg"/><Relationship Id="rId15" Type="http://schemas.openxmlformats.org/officeDocument/2006/relationships/hyperlink" Target="https://go.microsoft.com/fwlink/?linkid=859421" TargetMode="External"/><Relationship Id="rId10" Type="http://schemas.openxmlformats.org/officeDocument/2006/relationships/hyperlink" Target="#'Joining text and numbers'!A1"/><Relationship Id="rId4" Type="http://schemas.openxmlformats.org/officeDocument/2006/relationships/image" Target="../media/image17.png"/><Relationship Id="rId9" Type="http://schemas.openxmlformats.org/officeDocument/2006/relationships/hyperlink" Target="#'IF statements'!A60"/><Relationship Id="rId14" Type="http://schemas.openxmlformats.org/officeDocument/2006/relationships/hyperlink" Target="https://go.microsoft.com/fwlink/?linkid=858259" TargetMode="External"/></Relationships>
</file>

<file path=xl/drawings/_rels/drawing9.xml.rels><?xml version="1.0" encoding="UTF-8" standalone="yes"?>
<Relationships xmlns="http://schemas.openxmlformats.org/package/2006/relationships"><Relationship Id="rId8" Type="http://schemas.openxmlformats.org/officeDocument/2006/relationships/hyperlink" Target="https://go.microsoft.com/fwlink/?linkid=858265" TargetMode="External"/><Relationship Id="rId13" Type="http://schemas.openxmlformats.org/officeDocument/2006/relationships/image" Target="../media/image20.png"/><Relationship Id="rId3" Type="http://schemas.openxmlformats.org/officeDocument/2006/relationships/image" Target="../media/image4.png"/><Relationship Id="rId7" Type="http://schemas.openxmlformats.org/officeDocument/2006/relationships/hyperlink" Target="https://go.microsoft.com/fwlink/?linkid=858264" TargetMode="External"/><Relationship Id="rId12" Type="http://schemas.openxmlformats.org/officeDocument/2006/relationships/image" Target="../media/image11.svg"/><Relationship Id="rId2" Type="http://schemas.openxmlformats.org/officeDocument/2006/relationships/hyperlink" Target="https://go.microsoft.com/fwlink/?linkid=858261" TargetMode="External"/><Relationship Id="rId1" Type="http://schemas.openxmlformats.org/officeDocument/2006/relationships/hyperlink" Target="#'Conditional Functions'!A1"/><Relationship Id="rId6" Type="http://schemas.openxmlformats.org/officeDocument/2006/relationships/hyperlink" Target="https://go.microsoft.com/fwlink/?linkid=859425" TargetMode="External"/><Relationship Id="rId11" Type="http://schemas.openxmlformats.org/officeDocument/2006/relationships/image" Target="../media/image10.png"/><Relationship Id="rId5" Type="http://schemas.openxmlformats.org/officeDocument/2006/relationships/hyperlink" Target="https://go.microsoft.com/fwlink/?linkid=859424" TargetMode="External"/><Relationship Id="rId10" Type="http://schemas.openxmlformats.org/officeDocument/2006/relationships/hyperlink" Target="#'IF statements'!A1"/><Relationship Id="rId4" Type="http://schemas.openxmlformats.org/officeDocument/2006/relationships/image" Target="../media/image5.svg"/><Relationship Id="rId9" Type="http://schemas.openxmlformats.org/officeDocument/2006/relationships/hyperlink" Target="#VLOOKUP!D62"/><Relationship Id="rId14" Type="http://schemas.openxmlformats.org/officeDocument/2006/relationships/image" Target="../media/image21.svg"/></Relationships>
</file>

<file path=xl/drawings/_rels/drawing10.xml.rels><?xml version="1.0" encoding="UTF-8" standalone="yes"?>
<Relationships xmlns="http://schemas.openxmlformats.org/package/2006/relationships"><Relationship Id="rId8" Type="http://schemas.openxmlformats.org/officeDocument/2006/relationships/hyperlink" Target="https://go.microsoft.com/fwlink/?linkid=858250" TargetMode="External"/><Relationship Id="rId13" Type="http://schemas.openxmlformats.org/officeDocument/2006/relationships/hyperlink" Target="https://go.microsoft.com/fwlink/?linkid=858247" TargetMode="External"/><Relationship Id="rId18" Type="http://schemas.openxmlformats.org/officeDocument/2006/relationships/image" Target="../media/image17.png"/><Relationship Id="rId3" Type="http://schemas.openxmlformats.org/officeDocument/2006/relationships/hyperlink" Target="#'Function Wizard'!A1"/><Relationship Id="rId21" Type="http://schemas.openxmlformats.org/officeDocument/2006/relationships/hyperlink" Target="#'Conditional Functions'!A130"/><Relationship Id="rId7" Type="http://schemas.openxmlformats.org/officeDocument/2006/relationships/image" Target="../media/image5.svg"/><Relationship Id="rId12" Type="http://schemas.openxmlformats.org/officeDocument/2006/relationships/hyperlink" Target="https://go.microsoft.com/fwlink/?linkid=858248" TargetMode="External"/><Relationship Id="rId17" Type="http://schemas.openxmlformats.org/officeDocument/2006/relationships/hyperlink" Target="https://support.office.com/en-us/article/Create-a-PivotTable-to-analyze-worksheet-data-A9A84538-BFE9-40A9-A8E9-F99134456576" TargetMode="External"/><Relationship Id="rId2" Type="http://schemas.openxmlformats.org/officeDocument/2006/relationships/image" Target="../media/image9.svg"/><Relationship Id="rId16" Type="http://schemas.openxmlformats.org/officeDocument/2006/relationships/hyperlink" Target="https://go.microsoft.com/fwlink/?linkid=858251" TargetMode="External"/><Relationship Id="rId20" Type="http://schemas.openxmlformats.org/officeDocument/2006/relationships/hyperlink" Target="#'Conditional Functions'!A85"/><Relationship Id="rId1" Type="http://schemas.openxmlformats.org/officeDocument/2006/relationships/image" Target="../media/image8.png"/><Relationship Id="rId6" Type="http://schemas.openxmlformats.org/officeDocument/2006/relationships/image" Target="../media/image4.png"/><Relationship Id="rId11" Type="http://schemas.openxmlformats.org/officeDocument/2006/relationships/hyperlink" Target="https://go.microsoft.com/fwlink/?linkid=858246" TargetMode="External"/><Relationship Id="rId5" Type="http://schemas.openxmlformats.org/officeDocument/2006/relationships/hyperlink" Target="https://go.microsoft.com/fwlink/?linkid=859426" TargetMode="External"/><Relationship Id="rId15" Type="http://schemas.openxmlformats.org/officeDocument/2006/relationships/hyperlink" Target="https://go.microsoft.com/fwlink/?linkid=858244" TargetMode="External"/><Relationship Id="rId23" Type="http://schemas.openxmlformats.org/officeDocument/2006/relationships/hyperlink" Target="#VLOOKUP!A1"/><Relationship Id="rId10" Type="http://schemas.openxmlformats.org/officeDocument/2006/relationships/hyperlink" Target="https://go.microsoft.com/fwlink/?linkid=858245" TargetMode="External"/><Relationship Id="rId19" Type="http://schemas.openxmlformats.org/officeDocument/2006/relationships/image" Target="../media/image18.svg"/><Relationship Id="rId4" Type="http://schemas.openxmlformats.org/officeDocument/2006/relationships/hyperlink" Target="#'Conditional Functions'!A1"/><Relationship Id="rId9" Type="http://schemas.openxmlformats.org/officeDocument/2006/relationships/hyperlink" Target="https://go.microsoft.com/fwlink/?linkid=858249" TargetMode="External"/><Relationship Id="rId14" Type="http://schemas.openxmlformats.org/officeDocument/2006/relationships/hyperlink" Target="https://go.microsoft.com/fwlink/?linkid=858243" TargetMode="External"/><Relationship Id="rId22" Type="http://schemas.openxmlformats.org/officeDocument/2006/relationships/hyperlink" Target="#'Conditional Functions'!A138"/></Relationships>
</file>

<file path=xl/drawings/_rels/drawing11.xml.rels><?xml version="1.0" encoding="UTF-8" standalone="yes"?>
<Relationships xmlns="http://schemas.openxmlformats.org/package/2006/relationships"><Relationship Id="rId8" Type="http://schemas.openxmlformats.org/officeDocument/2006/relationships/hyperlink" Target="https://go.microsoft.com/fwlink/?linkid=862331" TargetMode="External"/><Relationship Id="rId13" Type="http://schemas.openxmlformats.org/officeDocument/2006/relationships/image" Target="../media/image9.svg"/><Relationship Id="rId3" Type="http://schemas.openxmlformats.org/officeDocument/2006/relationships/hyperlink" Target="https://go.microsoft.com/fwlink/?linkid=862329" TargetMode="External"/><Relationship Id="rId7" Type="http://schemas.openxmlformats.org/officeDocument/2006/relationships/hyperlink" Target="https://go.microsoft.com/fwlink/?linkid=862332" TargetMode="External"/><Relationship Id="rId12" Type="http://schemas.openxmlformats.org/officeDocument/2006/relationships/image" Target="../media/image8.png"/><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hyperlink" Target="https://go.microsoft.com/fwlink/?linkid=862330" TargetMode="External"/><Relationship Id="rId11" Type="http://schemas.openxmlformats.org/officeDocument/2006/relationships/image" Target="../media/image22.jpg"/><Relationship Id="rId5" Type="http://schemas.openxmlformats.org/officeDocument/2006/relationships/image" Target="../media/image5.svg"/><Relationship Id="rId10" Type="http://schemas.openxmlformats.org/officeDocument/2006/relationships/hyperlink" Target="#'Formula Errors'!A1"/><Relationship Id="rId4" Type="http://schemas.openxmlformats.org/officeDocument/2006/relationships/image" Target="../media/image4.png"/><Relationship Id="rId9" Type="http://schemas.openxmlformats.org/officeDocument/2006/relationships/hyperlink" Target="#'Conditional Functions'!A1"/></Relationships>
</file>

<file path=xl/drawings/_rels/drawing1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23.jpg"/><Relationship Id="rId3" Type="http://schemas.openxmlformats.org/officeDocument/2006/relationships/image" Target="../media/image20.png"/><Relationship Id="rId7" Type="http://schemas.openxmlformats.org/officeDocument/2006/relationships/hyperlink" Target="https://go.microsoft.com/fwlink/?linkid=862336" TargetMode="External"/><Relationship Id="rId12" Type="http://schemas.openxmlformats.org/officeDocument/2006/relationships/hyperlink" Target="https://go.microsoft.com/fwlink/?linkid=862334" TargetMode="External"/><Relationship Id="rId2" Type="http://schemas.openxmlformats.org/officeDocument/2006/relationships/hyperlink" Target="#'Learn more'!A1"/><Relationship Id="rId1" Type="http://schemas.openxmlformats.org/officeDocument/2006/relationships/hyperlink" Target="#'Function Wizard'!A1"/><Relationship Id="rId6" Type="http://schemas.openxmlformats.org/officeDocument/2006/relationships/image" Target="../media/image9.svg"/><Relationship Id="rId11" Type="http://schemas.openxmlformats.org/officeDocument/2006/relationships/hyperlink" Target="https://go.microsoft.com/fwlink/?linkid=862335" TargetMode="External"/><Relationship Id="rId5" Type="http://schemas.openxmlformats.org/officeDocument/2006/relationships/image" Target="../media/image8.png"/><Relationship Id="rId10" Type="http://schemas.openxmlformats.org/officeDocument/2006/relationships/hyperlink" Target="https://go.microsoft.com/fwlink/?linkid=862337" TargetMode="External"/><Relationship Id="rId4" Type="http://schemas.openxmlformats.org/officeDocument/2006/relationships/image" Target="../media/image21.svg"/><Relationship Id="rId9" Type="http://schemas.openxmlformats.org/officeDocument/2006/relationships/image" Target="../media/image5.svg"/><Relationship Id="rId14" Type="http://schemas.openxmlformats.org/officeDocument/2006/relationships/image" Target="../media/image24.jpg"/></Relationships>
</file>

<file path=xl/drawings/_rels/drawing13.xml.rels><?xml version="1.0" encoding="UTF-8" standalone="yes"?>
<Relationships xmlns="http://schemas.openxmlformats.org/package/2006/relationships"><Relationship Id="rId3" Type="http://schemas.openxmlformats.org/officeDocument/2006/relationships/hyperlink" Target="https://go.microsoft.com/fwlink/?linkid=859433" TargetMode="External"/><Relationship Id="rId7" Type="http://schemas.openxmlformats.org/officeDocument/2006/relationships/image" Target="../media/image28.svg"/><Relationship Id="rId2" Type="http://schemas.openxmlformats.org/officeDocument/2006/relationships/hyperlink" Target="https://go.microsoft.com/fwlink/?linkid=859431" TargetMode="External"/><Relationship Id="rId1" Type="http://schemas.openxmlformats.org/officeDocument/2006/relationships/hyperlink" Target="https://go.microsoft.com/fwlink/?linkid=859430" TargetMode="External"/><Relationship Id="rId6" Type="http://schemas.openxmlformats.org/officeDocument/2006/relationships/image" Target="../media/image27.png"/><Relationship Id="rId5" Type="http://schemas.openxmlformats.org/officeDocument/2006/relationships/image" Target="../media/image26.png"/><Relationship Id="rId4" Type="http://schemas.openxmlformats.org/officeDocument/2006/relationships/image" Target="../media/image25.png"/></Relationships>
</file>

<file path=xl/drawings/drawing1.xml><?xml version="1.0" encoding="utf-8"?>
<xdr:wsDr xmlns:xdr="http://schemas.openxmlformats.org/drawingml/2006/spreadsheetDrawing" xmlns:a="http://schemas.openxmlformats.org/drawingml/2006/main">
  <xdr:twoCellAnchor editAs="absolute">
    <xdr:from>
      <xdr:col>0</xdr:col>
      <xdr:colOff>161925</xdr:colOff>
      <xdr:row>3</xdr:row>
      <xdr:rowOff>2205039</xdr:rowOff>
    </xdr:from>
    <xdr:to>
      <xdr:col>0</xdr:col>
      <xdr:colOff>2041238</xdr:colOff>
      <xdr:row>3</xdr:row>
      <xdr:rowOff>3201988</xdr:rowOff>
    </xdr:to>
    <xdr:pic>
      <xdr:nvPicPr>
        <xdr:cNvPr id="2" name="Picture 1" descr="Excel logo">
          <a:extLst>
            <a:ext uri="{FF2B5EF4-FFF2-40B4-BE49-F238E27FC236}">
              <a16:creationId xmlns:a16="http://schemas.microsoft.com/office/drawing/2014/main" id="{9356F0F2-25C5-4E97-B672-85171E57B3A4}"/>
            </a:ext>
          </a:extLst>
        </xdr:cNvPr>
        <xdr:cNvPicPr>
          <a:picLocks noChangeAspect="1"/>
        </xdr:cNvPicPr>
      </xdr:nvPicPr>
      <xdr:blipFill>
        <a:blip xmlns:r="http://schemas.openxmlformats.org/officeDocument/2006/relationships" r:embed="rId1"/>
        <a:stretch>
          <a:fillRect/>
        </a:stretch>
      </xdr:blipFill>
      <xdr:spPr>
        <a:xfrm>
          <a:off x="161925" y="4333876"/>
          <a:ext cx="1879313" cy="996949"/>
        </a:xfrm>
        <a:prstGeom prst="rect">
          <a:avLst/>
        </a:prstGeom>
      </xdr:spPr>
    </xdr:pic>
    <xdr:clientData/>
  </xdr:twoCellAnchor>
  <xdr:absoluteAnchor>
    <xdr:pos x="7258050" y="4779963"/>
    <xdr:ext cx="1170432" cy="514350"/>
    <xdr:sp macro="" textlink="">
      <xdr:nvSpPr>
        <xdr:cNvPr id="3" name="Next Button" descr="Hyperlinked button shape to navigate to the next step">
          <a:hlinkClick xmlns:r="http://schemas.openxmlformats.org/officeDocument/2006/relationships" r:id="rId2" tooltip="Select to start the tour"/>
          <a:extLst>
            <a:ext uri="{FF2B5EF4-FFF2-40B4-BE49-F238E27FC236}">
              <a16:creationId xmlns:a16="http://schemas.microsoft.com/office/drawing/2014/main" id="{A16C62F8-5DAF-4A85-B660-EDB91A61244F}"/>
            </a:ext>
          </a:extLst>
        </xdr:cNvPr>
        <xdr:cNvSpPr/>
      </xdr:nvSpPr>
      <xdr:spPr>
        <a:xfrm>
          <a:off x="7258050" y="4779963"/>
          <a:ext cx="1170432"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75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75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absoluteAnchor>
</xdr:wsDr>
</file>

<file path=xl/drawings/drawing2.xml><?xml version="1.0" encoding="utf-8"?>
<xdr:wsDr xmlns:xdr="http://schemas.openxmlformats.org/drawingml/2006/spreadsheetDrawing" xmlns:a="http://schemas.openxmlformats.org/drawingml/2006/main">
  <xdr:twoCellAnchor editAs="absolute">
    <xdr:from>
      <xdr:col>0</xdr:col>
      <xdr:colOff>364306</xdr:colOff>
      <xdr:row>0</xdr:row>
      <xdr:rowOff>352425</xdr:rowOff>
    </xdr:from>
    <xdr:to>
      <xdr:col>1</xdr:col>
      <xdr:colOff>5249869</xdr:colOff>
      <xdr:row>22</xdr:row>
      <xdr:rowOff>104775</xdr:rowOff>
    </xdr:to>
    <xdr:grpSp>
      <xdr:nvGrpSpPr>
        <xdr:cNvPr id="106" name="Group 105">
          <a:extLst>
            <a:ext uri="{FF2B5EF4-FFF2-40B4-BE49-F238E27FC236}">
              <a16:creationId xmlns:a16="http://schemas.microsoft.com/office/drawing/2014/main" id="{B02C2868-90B4-49F8-9B54-D2DE144C06FB}"/>
            </a:ext>
          </a:extLst>
        </xdr:cNvPr>
        <xdr:cNvGrpSpPr/>
      </xdr:nvGrpSpPr>
      <xdr:grpSpPr>
        <a:xfrm>
          <a:off x="364306" y="352425"/>
          <a:ext cx="5754243" cy="4438650"/>
          <a:chOff x="333375" y="266700"/>
          <a:chExt cx="5695950" cy="4572000"/>
        </a:xfrm>
      </xdr:grpSpPr>
      <xdr:grpSp>
        <xdr:nvGrpSpPr>
          <xdr:cNvPr id="107" name="Add numbers instruction">
            <a:extLst>
              <a:ext uri="{FF2B5EF4-FFF2-40B4-BE49-F238E27FC236}">
                <a16:creationId xmlns:a16="http://schemas.microsoft.com/office/drawing/2014/main" id="{6A0EC01A-7B98-4483-A182-0263FDEAEC51}"/>
              </a:ext>
            </a:extLst>
          </xdr:cNvPr>
          <xdr:cNvGrpSpPr/>
        </xdr:nvGrpSpPr>
        <xdr:grpSpPr>
          <a:xfrm>
            <a:off x="333375" y="266700"/>
            <a:ext cx="5695950" cy="4572000"/>
            <a:chOff x="0" y="0"/>
            <a:chExt cx="5695950" cy="4619625"/>
          </a:xfrm>
        </xdr:grpSpPr>
        <xdr:sp macro="" textlink="">
          <xdr:nvSpPr>
            <xdr:cNvPr id="121" name="Background" descr="Background">
              <a:extLst>
                <a:ext uri="{FF2B5EF4-FFF2-40B4-BE49-F238E27FC236}">
                  <a16:creationId xmlns:a16="http://schemas.microsoft.com/office/drawing/2014/main" id="{2147F87B-DB9B-4472-AAD1-ABC163A3B03F}"/>
                </a:ext>
              </a:extLst>
            </xdr:cNvPr>
            <xdr:cNvSpPr/>
          </xdr:nvSpPr>
          <xdr:spPr>
            <a:xfrm>
              <a:off x="0" y="0"/>
              <a:ext cx="5695950" cy="46196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22" name="Step" descr="Basics: doing math with Excel&#10;">
              <a:extLst>
                <a:ext uri="{FF2B5EF4-FFF2-40B4-BE49-F238E27FC236}">
                  <a16:creationId xmlns:a16="http://schemas.microsoft.com/office/drawing/2014/main" id="{527A2F1F-8B85-44FB-84D2-005AA1509431}"/>
                </a:ext>
              </a:extLst>
            </xdr:cNvPr>
            <xdr:cNvSpPr txBox="1"/>
          </xdr:nvSpPr>
          <xdr:spPr>
            <a:xfrm>
              <a:off x="184433" y="118698"/>
              <a:ext cx="5216551" cy="4909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fr-FR" sz="1800" b="0" i="0" kern="1200">
                  <a:solidFill>
                    <a:schemeClr val="dk1"/>
                  </a:solidFill>
                  <a:effectLst/>
                  <a:latin typeface="+mn-lt"/>
                  <a:ea typeface="+mn-ea"/>
                  <a:cs typeface="+mn-cs"/>
                </a:rPr>
                <a:t>Bases : faire des maths avec Excel</a:t>
              </a:r>
              <a:endParaRPr kumimoji="0" lang="en-US" sz="2200" b="1" i="1"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sp macro="" textlink="">
          <xdr:nvSpPr>
            <xdr:cNvPr id="123" name="More detail button" descr="Dive down for more detail">
              <a:hlinkClick xmlns:r="http://schemas.openxmlformats.org/officeDocument/2006/relationships" r:id="rId1"/>
              <a:extLst>
                <a:ext uri="{FF2B5EF4-FFF2-40B4-BE49-F238E27FC236}">
                  <a16:creationId xmlns:a16="http://schemas.microsoft.com/office/drawing/2014/main" id="{1CED4306-172A-4987-9E8C-4F8C83F698F2}"/>
                </a:ext>
              </a:extLst>
            </xdr:cNvPr>
            <xdr:cNvSpPr/>
          </xdr:nvSpPr>
          <xdr:spPr>
            <a:xfrm>
              <a:off x="234924" y="3996494"/>
              <a:ext cx="2723067" cy="536455"/>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Descendez</a:t>
              </a:r>
              <a:r>
                <a:rPr lang="en-US" sz="1200" baseline="0">
                  <a:solidFill>
                    <a:srgbClr val="0B744D"/>
                  </a:solidFill>
                  <a:latin typeface="Segoe UI" pitchFamily="34" charset="0"/>
                  <a:ea typeface="Segoe UI" pitchFamily="34" charset="0"/>
                  <a:cs typeface="Segoe UI" pitchFamily="34" charset="0"/>
                </a:rPr>
                <a:t> pour plus de détails</a:t>
              </a:r>
              <a:endParaRPr lang="en-US" sz="1200">
                <a:solidFill>
                  <a:srgbClr val="0B744D"/>
                </a:solidFill>
                <a:latin typeface="Segoe UI" pitchFamily="34" charset="0"/>
                <a:ea typeface="Segoe UI" pitchFamily="34" charset="0"/>
                <a:cs typeface="Segoe UI" pitchFamily="34" charset="0"/>
              </a:endParaRPr>
            </a:p>
          </xdr:txBody>
        </xdr:sp>
        <xdr:cxnSp macro="">
          <xdr:nvCxnSpPr>
            <xdr:cNvPr id="124" name="Bottom line" descr="Decorative line">
              <a:extLst>
                <a:ext uri="{FF2B5EF4-FFF2-40B4-BE49-F238E27FC236}">
                  <a16:creationId xmlns:a16="http://schemas.microsoft.com/office/drawing/2014/main" id="{50B75431-5A3C-410B-A96B-E6824F0F2D01}"/>
                </a:ext>
              </a:extLst>
            </xdr:cNvPr>
            <xdr:cNvCxnSpPr>
              <a:cxnSpLocks/>
            </xdr:cNvCxnSpPr>
          </xdr:nvCxnSpPr>
          <xdr:spPr>
            <a:xfrm>
              <a:off x="184433" y="3841253"/>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B0BBFD4D-9951-4AC0-8CF1-AD7AD1715BA1}"/>
                </a:ext>
              </a:extLst>
            </xdr:cNvPr>
            <xdr:cNvSpPr/>
          </xdr:nvSpPr>
          <xdr:spPr>
            <a:xfrm>
              <a:off x="4112269" y="3996497"/>
              <a:ext cx="1336032" cy="34849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Étape suivante</a:t>
              </a:r>
            </a:p>
          </xdr:txBody>
        </xdr:sp>
        <xdr:cxnSp macro="">
          <xdr:nvCxnSpPr>
            <xdr:cNvPr id="126" name="Top line" descr="Decorative line">
              <a:extLst>
                <a:ext uri="{FF2B5EF4-FFF2-40B4-BE49-F238E27FC236}">
                  <a16:creationId xmlns:a16="http://schemas.microsoft.com/office/drawing/2014/main" id="{6E3272E8-3D34-4BC2-A3B8-CFAA0B7306AE}"/>
                </a:ext>
              </a:extLst>
            </xdr:cNvPr>
            <xdr:cNvCxnSpPr>
              <a:cxnSpLocks/>
            </xdr:cNvCxnSpPr>
          </xdr:nvCxnSpPr>
          <xdr:spPr>
            <a:xfrm>
              <a:off x="184433" y="62611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sp macro="" textlink="">
        <xdr:nvSpPr>
          <xdr:cNvPr id="108" name="txt_Step" descr="You can Add, Subtract, Multiply, and Divide in Excel without using any built-in functions. You just need to use operators +, -, *, /. All formulas start with an equals (=) sign.">
            <a:extLst>
              <a:ext uri="{FF2B5EF4-FFF2-40B4-BE49-F238E27FC236}">
                <a16:creationId xmlns:a16="http://schemas.microsoft.com/office/drawing/2014/main" id="{8742DC30-0FF1-4950-98D1-1D4D2D7B33ED}"/>
              </a:ext>
            </a:extLst>
          </xdr:cNvPr>
          <xdr:cNvSpPr txBox="1"/>
        </xdr:nvSpPr>
        <xdr:spPr>
          <a:xfrm>
            <a:off x="451745" y="994458"/>
            <a:ext cx="5284985" cy="7140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Vous pouvez ajouter, soustraire, multiplier et diviser dans Excel sans utiliser de fonctions intégrées. Il vous suffit d’utiliser quelques opérateurs de base : +, -, *, /. Toutes les formules commencent par un signe égal (=).</a:t>
            </a:r>
          </a:p>
          <a:p>
            <a:pPr marL="0" marR="0" lvl="0" indent="0" defTabSz="914400" eaLnBrk="1" fontAlgn="auto" latinLnBrk="0" hangingPunct="1">
              <a:lnSpc>
                <a:spcPct val="100000"/>
              </a:lnSpc>
              <a:spcBef>
                <a:spcPts val="0"/>
              </a:spcBef>
              <a:spcAft>
                <a:spcPts val="0"/>
              </a:spcAft>
              <a:buClrTx/>
              <a:buSzTx/>
              <a:buFontTx/>
              <a:buNone/>
              <a:tabLst/>
              <a:defRPr/>
            </a:pPr>
            <a:b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b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109" name="grp_Step">
            <a:extLst>
              <a:ext uri="{FF2B5EF4-FFF2-40B4-BE49-F238E27FC236}">
                <a16:creationId xmlns:a16="http://schemas.microsoft.com/office/drawing/2014/main" id="{344307E7-8939-4DC6-90D0-121C6023E34E}"/>
              </a:ext>
            </a:extLst>
          </xdr:cNvPr>
          <xdr:cNvGrpSpPr/>
        </xdr:nvGrpSpPr>
        <xdr:grpSpPr>
          <a:xfrm>
            <a:off x="542925" y="1790700"/>
            <a:ext cx="5220101" cy="596207"/>
            <a:chOff x="609600" y="7810500"/>
            <a:chExt cx="5186234" cy="596207"/>
          </a:xfrm>
        </xdr:grpSpPr>
        <xdr:sp macro="" textlink="">
          <xdr:nvSpPr>
            <xdr:cNvPr id="119" name="txt_Step" descr="To Add, select cell F3, type =C3+C4, then press Enter. &#10;">
              <a:extLst>
                <a:ext uri="{FF2B5EF4-FFF2-40B4-BE49-F238E27FC236}">
                  <a16:creationId xmlns:a16="http://schemas.microsoft.com/office/drawing/2014/main" id="{F002E929-4219-4978-A490-F2DD449CF4AA}"/>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Pour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Ajouter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sélectionnez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tapez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puis appuyez sur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Entrée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120" name="shp_Step" descr="2">
              <a:extLst>
                <a:ext uri="{FF2B5EF4-FFF2-40B4-BE49-F238E27FC236}">
                  <a16:creationId xmlns:a16="http://schemas.microsoft.com/office/drawing/2014/main" id="{2E6406AB-C476-48D1-BEA6-869A7184608F}"/>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0" name="grp_Step">
            <a:extLst>
              <a:ext uri="{FF2B5EF4-FFF2-40B4-BE49-F238E27FC236}">
                <a16:creationId xmlns:a16="http://schemas.microsoft.com/office/drawing/2014/main" id="{8FFCD9EA-E2D0-4CB7-A158-043B5D0A28C7}"/>
              </a:ext>
            </a:extLst>
          </xdr:cNvPr>
          <xdr:cNvGrpSpPr/>
        </xdr:nvGrpSpPr>
        <xdr:grpSpPr>
          <a:xfrm>
            <a:off x="542925" y="2333625"/>
            <a:ext cx="5220101" cy="596207"/>
            <a:chOff x="609600" y="7810500"/>
            <a:chExt cx="5186234" cy="596207"/>
          </a:xfrm>
        </xdr:grpSpPr>
        <xdr:sp macro="" textlink="">
          <xdr:nvSpPr>
            <xdr:cNvPr id="117" name="txt_Step" descr="To Subtract, select cell F4, type =C3-C4, then press Enter. &#10;">
              <a:extLst>
                <a:ext uri="{FF2B5EF4-FFF2-40B4-BE49-F238E27FC236}">
                  <a16:creationId xmlns:a16="http://schemas.microsoft.com/office/drawing/2014/main" id="{CADFDA66-201E-4B9E-93C9-81C8D7287166}"/>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Pour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Soustraire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sélectionnez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tapez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puis appuyez sur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Entrée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b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b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8" name="shp_Step" descr="3">
              <a:extLst>
                <a:ext uri="{FF2B5EF4-FFF2-40B4-BE49-F238E27FC236}">
                  <a16:creationId xmlns:a16="http://schemas.microsoft.com/office/drawing/2014/main" id="{30447D02-8C17-460D-8A68-AA7AAC297B5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1" name="grp_Step">
            <a:extLst>
              <a:ext uri="{FF2B5EF4-FFF2-40B4-BE49-F238E27FC236}">
                <a16:creationId xmlns:a16="http://schemas.microsoft.com/office/drawing/2014/main" id="{F7FEC8A2-A21F-4408-8113-8AAE6773DEF1}"/>
              </a:ext>
            </a:extLst>
          </xdr:cNvPr>
          <xdr:cNvGrpSpPr/>
        </xdr:nvGrpSpPr>
        <xdr:grpSpPr>
          <a:xfrm>
            <a:off x="533400" y="2895600"/>
            <a:ext cx="5220101" cy="596207"/>
            <a:chOff x="609600" y="7810500"/>
            <a:chExt cx="5186234" cy="596207"/>
          </a:xfrm>
        </xdr:grpSpPr>
        <xdr:sp macro="" textlink="">
          <xdr:nvSpPr>
            <xdr:cNvPr id="115" name="txt_Step" descr="To Multiply, select cell F5, type =C3*C4, then press Enter.&#10;">
              <a:extLst>
                <a:ext uri="{FF2B5EF4-FFF2-40B4-BE49-F238E27FC236}">
                  <a16:creationId xmlns:a16="http://schemas.microsoft.com/office/drawing/2014/main" id="{A750B84C-D9FA-4307-B87D-B03500BD1295}"/>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Pour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Multiplier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sélectionnez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F5</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tapez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puis appuyez sur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Entrée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6" name="shp_Step" descr="4">
              <a:extLst>
                <a:ext uri="{FF2B5EF4-FFF2-40B4-BE49-F238E27FC236}">
                  <a16:creationId xmlns:a16="http://schemas.microsoft.com/office/drawing/2014/main" id="{301F9E0F-B2AD-4808-8E07-2DD27EAA871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12" name="grp_Step">
            <a:extLst>
              <a:ext uri="{FF2B5EF4-FFF2-40B4-BE49-F238E27FC236}">
                <a16:creationId xmlns:a16="http://schemas.microsoft.com/office/drawing/2014/main" id="{408F37C5-7518-41B6-95C9-BDDF6E7642EF}"/>
              </a:ext>
            </a:extLst>
          </xdr:cNvPr>
          <xdr:cNvGrpSpPr/>
        </xdr:nvGrpSpPr>
        <xdr:grpSpPr>
          <a:xfrm>
            <a:off x="542925" y="3457575"/>
            <a:ext cx="5220101" cy="596207"/>
            <a:chOff x="609600" y="7810500"/>
            <a:chExt cx="5186234" cy="596207"/>
          </a:xfrm>
        </xdr:grpSpPr>
        <xdr:sp macro="" textlink="">
          <xdr:nvSpPr>
            <xdr:cNvPr id="113" name="txt_Step" descr="To Divide, select cell F6, type =C3/C4, then press Enter.&#10;">
              <a:extLst>
                <a:ext uri="{FF2B5EF4-FFF2-40B4-BE49-F238E27FC236}">
                  <a16:creationId xmlns:a16="http://schemas.microsoft.com/office/drawing/2014/main" id="{9799513C-69A2-449B-AD71-86A24AC167F3}"/>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Pour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Diviser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sélectionnez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tapez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=C3/C4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puis appuyez sur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Entrée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4" name="shp_Step" descr="5">
              <a:extLst>
                <a:ext uri="{FF2B5EF4-FFF2-40B4-BE49-F238E27FC236}">
                  <a16:creationId xmlns:a16="http://schemas.microsoft.com/office/drawing/2014/main" id="{5F788989-D02F-42F0-AAEB-46D2CBCF555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4</a:t>
              </a:r>
            </a:p>
          </xdr:txBody>
        </xdr:sp>
      </xdr:grpSp>
    </xdr:grpSp>
    <xdr:clientData/>
  </xdr:twoCellAnchor>
  <xdr:twoCellAnchor editAs="absolute">
    <xdr:from>
      <xdr:col>0</xdr:col>
      <xdr:colOff>354781</xdr:colOff>
      <xdr:row>23</xdr:row>
      <xdr:rowOff>0</xdr:rowOff>
    </xdr:from>
    <xdr:to>
      <xdr:col>1</xdr:col>
      <xdr:colOff>5240344</xdr:colOff>
      <xdr:row>52</xdr:row>
      <xdr:rowOff>85517</xdr:rowOff>
    </xdr:to>
    <xdr:sp macro="" textlink="">
      <xdr:nvSpPr>
        <xdr:cNvPr id="128" name="Rectangle 127" descr="Background">
          <a:extLst>
            <a:ext uri="{FF2B5EF4-FFF2-40B4-BE49-F238E27FC236}">
              <a16:creationId xmlns:a16="http://schemas.microsoft.com/office/drawing/2014/main" id="{C6DA8A49-5A77-4AE2-BD39-5BC07FDB559E}"/>
            </a:ext>
          </a:extLst>
        </xdr:cNvPr>
        <xdr:cNvSpPr/>
      </xdr:nvSpPr>
      <xdr:spPr>
        <a:xfrm>
          <a:off x="354781" y="4869180"/>
          <a:ext cx="5754243" cy="576241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lientData/>
  </xdr:twoCellAnchor>
  <xdr:twoCellAnchor editAs="absolute">
    <xdr:from>
      <xdr:col>0</xdr:col>
      <xdr:colOff>554806</xdr:colOff>
      <xdr:row>24</xdr:row>
      <xdr:rowOff>348546</xdr:rowOff>
    </xdr:from>
    <xdr:to>
      <xdr:col>1</xdr:col>
      <xdr:colOff>4958126</xdr:colOff>
      <xdr:row>24</xdr:row>
      <xdr:rowOff>348546</xdr:rowOff>
    </xdr:to>
    <xdr:cxnSp macro="">
      <xdr:nvCxnSpPr>
        <xdr:cNvPr id="129" name="Straight Connector 128" descr="Decorative line">
          <a:extLst>
            <a:ext uri="{FF2B5EF4-FFF2-40B4-BE49-F238E27FC236}">
              <a16:creationId xmlns:a16="http://schemas.microsoft.com/office/drawing/2014/main" id="{A37B1A9B-7A4A-4AFE-83FF-68ED0AF60BB5}"/>
            </a:ext>
          </a:extLst>
        </xdr:cNvPr>
        <xdr:cNvCxnSpPr>
          <a:cxnSpLocks/>
        </xdr:cNvCxnSpPr>
      </xdr:nvCxnSpPr>
      <xdr:spPr>
        <a:xfrm>
          <a:off x="554806" y="5568246"/>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49</xdr:row>
      <xdr:rowOff>5989</xdr:rowOff>
    </xdr:from>
    <xdr:to>
      <xdr:col>1</xdr:col>
      <xdr:colOff>4958126</xdr:colOff>
      <xdr:row>49</xdr:row>
      <xdr:rowOff>5989</xdr:rowOff>
    </xdr:to>
    <xdr:cxnSp macro="">
      <xdr:nvCxnSpPr>
        <xdr:cNvPr id="130" name="Straight Connector 129" descr="Decorative line">
          <a:extLst>
            <a:ext uri="{FF2B5EF4-FFF2-40B4-BE49-F238E27FC236}">
              <a16:creationId xmlns:a16="http://schemas.microsoft.com/office/drawing/2014/main" id="{54D32FC2-4A3C-44C6-8554-5D7D5A124DFA}"/>
            </a:ext>
          </a:extLst>
        </xdr:cNvPr>
        <xdr:cNvCxnSpPr>
          <a:cxnSpLocks/>
        </xdr:cNvCxnSpPr>
      </xdr:nvCxnSpPr>
      <xdr:spPr>
        <a:xfrm>
          <a:off x="554806" y="10359664"/>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554806</xdr:colOff>
      <xdr:row>23</xdr:row>
      <xdr:rowOff>59892</xdr:rowOff>
    </xdr:from>
    <xdr:to>
      <xdr:col>1</xdr:col>
      <xdr:colOff>4961299</xdr:colOff>
      <xdr:row>26</xdr:row>
      <xdr:rowOff>91440</xdr:rowOff>
    </xdr:to>
    <xdr:sp macro="" textlink="">
      <xdr:nvSpPr>
        <xdr:cNvPr id="131" name="Step" descr="More about formulas, cells, and ranges&#10;">
          <a:extLst>
            <a:ext uri="{FF2B5EF4-FFF2-40B4-BE49-F238E27FC236}">
              <a16:creationId xmlns:a16="http://schemas.microsoft.com/office/drawing/2014/main" id="{357DDA9A-4748-449A-87E8-7D577E6B6F8E}"/>
            </a:ext>
          </a:extLst>
        </xdr:cNvPr>
        <xdr:cNvSpPr txBox="1"/>
      </xdr:nvSpPr>
      <xdr:spPr>
        <a:xfrm>
          <a:off x="554806" y="4929072"/>
          <a:ext cx="5275173" cy="8087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Plus sur les formules, les cellules et les plages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lientData/>
  </xdr:twoCellAnchor>
  <xdr:twoCellAnchor editAs="absolute">
    <xdr:from>
      <xdr:col>0</xdr:col>
      <xdr:colOff>469081</xdr:colOff>
      <xdr:row>25</xdr:row>
      <xdr:rowOff>18189</xdr:rowOff>
    </xdr:from>
    <xdr:to>
      <xdr:col>1</xdr:col>
      <xdr:colOff>4915399</xdr:colOff>
      <xdr:row>32</xdr:row>
      <xdr:rowOff>137160</xdr:rowOff>
    </xdr:to>
    <xdr:sp macro="" textlink="">
      <xdr:nvSpPr>
        <xdr:cNvPr id="132" name="txt_Step" descr="Excel is made up of individual cells that are grouped into Rows and Columns. Rows are numbered, and Columns are lettered. There are 1,048,576 rows and 16,384 columns, and you can put formulas and functions in any of them.">
          <a:extLst>
            <a:ext uri="{FF2B5EF4-FFF2-40B4-BE49-F238E27FC236}">
              <a16:creationId xmlns:a16="http://schemas.microsoft.com/office/drawing/2014/main" id="{C309FDDD-7DD5-4C0A-A9F5-43E33DAD131C}"/>
            </a:ext>
          </a:extLst>
        </xdr:cNvPr>
        <xdr:cNvSpPr txBox="1"/>
      </xdr:nvSpPr>
      <xdr:spPr>
        <a:xfrm>
          <a:off x="469081" y="5481729"/>
          <a:ext cx="5314998" cy="1543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Excel est composé de cellules individuelles regroupées en rangées et en colonnes. Les rangées sont nLes formules peuvent contenir des références de cellule, des plages de références de cellules, des opérateurs et des constantes. Voici tous des exemples de formules :umérotées et les colonnes sont alphabétiques. Il y a plus de 1 million de lignes et 16 000 colonnes, et vous pouvez mettre des formules dans n’importe laquelle d’entre elles. </a:t>
          </a:r>
        </a:p>
      </xdr:txBody>
    </xdr:sp>
    <xdr:clientData/>
  </xdr:twoCellAnchor>
  <xdr:twoCellAnchor editAs="absolute">
    <xdr:from>
      <xdr:col>0</xdr:col>
      <xdr:colOff>27121</xdr:colOff>
      <xdr:row>27</xdr:row>
      <xdr:rowOff>236221</xdr:rowOff>
    </xdr:from>
    <xdr:to>
      <xdr:col>1</xdr:col>
      <xdr:colOff>4473439</xdr:colOff>
      <xdr:row>31</xdr:row>
      <xdr:rowOff>167641</xdr:rowOff>
    </xdr:to>
    <xdr:sp macro="" textlink="">
      <xdr:nvSpPr>
        <xdr:cNvPr id="133" name="txt_Step" descr="Formulas can contain cell references, ranges of cell references, operators, and constants. The following are all examples of formulas:&#10;&#10;=A1+BI&#10;=10*20&#10;=SUM(A1:A10)&#10;&#10;">
          <a:extLst>
            <a:ext uri="{FF2B5EF4-FFF2-40B4-BE49-F238E27FC236}">
              <a16:creationId xmlns:a16="http://schemas.microsoft.com/office/drawing/2014/main" id="{DE5F2A61-4B42-4344-8A7F-D8616CB59479}"/>
            </a:ext>
          </a:extLst>
        </xdr:cNvPr>
        <xdr:cNvSpPr txBox="1"/>
      </xdr:nvSpPr>
      <xdr:spPr>
        <a:xfrm>
          <a:off x="27121" y="6065521"/>
          <a:ext cx="5314998" cy="807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=A1+B1</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=10*20</a:t>
          </a:r>
        </a:p>
        <a:p>
          <a:pPr marL="457200" marR="0" lvl="1"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=SOMME(A1:A10)</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476701</xdr:colOff>
      <xdr:row>33</xdr:row>
      <xdr:rowOff>138265</xdr:rowOff>
    </xdr:from>
    <xdr:to>
      <xdr:col>1</xdr:col>
      <xdr:colOff>5058226</xdr:colOff>
      <xdr:row>37</xdr:row>
      <xdr:rowOff>170480</xdr:rowOff>
    </xdr:to>
    <xdr:sp macro="" textlink="">
      <xdr:nvSpPr>
        <xdr:cNvPr id="134" name="txt_Step" descr="You'll notice that in our third example above, we used the SUM function. A function is a pre-built command that takes a value or values, calculates them in a certain way, and returns a result. For instance, the SUM function takes the cell references or ranges you specify, and totals them. In this example it takes the cells A1 through A10, and totals them. Excel has over 400 functions, which you can explore on the Formulas tab.&#10;">
          <a:extLst>
            <a:ext uri="{FF2B5EF4-FFF2-40B4-BE49-F238E27FC236}">
              <a16:creationId xmlns:a16="http://schemas.microsoft.com/office/drawing/2014/main" id="{73D9B0E0-3581-491E-A150-07F5BAA0F86D}"/>
            </a:ext>
          </a:extLst>
        </xdr:cNvPr>
        <xdr:cNvSpPr txBox="1"/>
      </xdr:nvSpPr>
      <xdr:spPr>
        <a:xfrm>
          <a:off x="476701" y="7209625"/>
          <a:ext cx="5450205" cy="7637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Vous remarquerez que dans notre troisième exemple ci-dessus, nous avons utilisé la fonction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Une fonction est une commande prédéfinie qui prend une ou plusieurs valeurs, les calcule d’une certaine manière et renvoie un résultat. Par exemple, la fonction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prend les références de cellule ou les plages que vous spécifiez et les totalise. Dans cet exemple, il prend les cellules A1 à A10 et les totalise. Excel dispose de plus de 400 fonctions, que vous pouvez explorer sous l’</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onglet Formules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b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b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476701</xdr:colOff>
      <xdr:row>40</xdr:row>
      <xdr:rowOff>121920</xdr:rowOff>
    </xdr:from>
    <xdr:to>
      <xdr:col>1</xdr:col>
      <xdr:colOff>5029651</xdr:colOff>
      <xdr:row>49</xdr:row>
      <xdr:rowOff>30480</xdr:rowOff>
    </xdr:to>
    <xdr:sp macro="" textlink="">
      <xdr:nvSpPr>
        <xdr:cNvPr id="135" name="txt_Step" descr="Formulas with functions start with an equals sign, then the function name follows with its arguments (the values a function uses to calculate) wrapped in parentheses. &#10;&#10;">
          <a:extLst>
            <a:ext uri="{FF2B5EF4-FFF2-40B4-BE49-F238E27FC236}">
              <a16:creationId xmlns:a16="http://schemas.microsoft.com/office/drawing/2014/main" id="{066FFF9C-96C0-4C5A-AFA6-27C4951F9C44}"/>
            </a:ext>
          </a:extLst>
        </xdr:cNvPr>
        <xdr:cNvSpPr txBox="1"/>
      </xdr:nvSpPr>
      <xdr:spPr>
        <a:xfrm>
          <a:off x="476701" y="8473440"/>
          <a:ext cx="5421630" cy="1554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Les formules avec des fonctions commencent par un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signe égal</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puis 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nom de la fonction</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suit avec ses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arguments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(les valeurs qu’une fonction utilise pour calculer)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entourés de parenthèses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Vous confirmez une formule en appuyant sur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Entrée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Une fois que vous avez fait cela, la formule sera calculée et le résultat sera affiché dans la cellule. Pour voir la formule elle-même, vous pouvez consulter la barre de formule sous le ruban ou appuyer sur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F2</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pour entrer en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mode Édition</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où vous verrez la formule dans la cellule. Appuyez à nouveau sur Entrée pour finaliser la formule et calculer le résultat.</a:t>
          </a:r>
        </a:p>
      </xdr:txBody>
    </xdr:sp>
    <xdr:clientData/>
  </xdr:twoCellAnchor>
  <xdr:twoCellAnchor editAs="absolute">
    <xdr:from>
      <xdr:col>0</xdr:col>
      <xdr:colOff>478606</xdr:colOff>
      <xdr:row>49</xdr:row>
      <xdr:rowOff>139212</xdr:rowOff>
    </xdr:from>
    <xdr:to>
      <xdr:col>1</xdr:col>
      <xdr:colOff>906051</xdr:colOff>
      <xdr:row>51</xdr:row>
      <xdr:rowOff>93661</xdr:rowOff>
    </xdr:to>
    <xdr:sp macro="" textlink="">
      <xdr:nvSpPr>
        <xdr:cNvPr id="137"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BEFD400E-6244-40BE-8D92-330023967DDC}"/>
            </a:ext>
          </a:extLst>
        </xdr:cNvPr>
        <xdr:cNvSpPr/>
      </xdr:nvSpPr>
      <xdr:spPr>
        <a:xfrm flipH="1">
          <a:off x="478606"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Précédent</a:t>
          </a:r>
        </a:p>
      </xdr:txBody>
    </xdr:sp>
    <xdr:clientData fPrintsWithSheet="0"/>
  </xdr:twoCellAnchor>
  <xdr:twoCellAnchor editAs="absolute">
    <xdr:from>
      <xdr:col>1</xdr:col>
      <xdr:colOff>3591742</xdr:colOff>
      <xdr:row>49</xdr:row>
      <xdr:rowOff>139212</xdr:rowOff>
    </xdr:from>
    <xdr:to>
      <xdr:col>1</xdr:col>
      <xdr:colOff>4866912</xdr:colOff>
      <xdr:row>51</xdr:row>
      <xdr:rowOff>93661</xdr:rowOff>
    </xdr:to>
    <xdr:sp macro="" textlink="">
      <xdr:nvSpPr>
        <xdr:cNvPr id="138"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DD56E08A-C3A9-475A-87AB-52A78D988C6C}"/>
            </a:ext>
          </a:extLst>
        </xdr:cNvPr>
        <xdr:cNvSpPr/>
      </xdr:nvSpPr>
      <xdr:spPr>
        <a:xfrm>
          <a:off x="4439467" y="1049288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Suivant</a:t>
          </a:r>
        </a:p>
      </xdr:txBody>
    </xdr:sp>
    <xdr:clientData fPrintsWithSheet="0"/>
  </xdr:twoCellAnchor>
  <xdr:twoCellAnchor editAs="absolute">
    <xdr:from>
      <xdr:col>5</xdr:col>
      <xdr:colOff>421455</xdr:colOff>
      <xdr:row>6</xdr:row>
      <xdr:rowOff>114299</xdr:rowOff>
    </xdr:from>
    <xdr:to>
      <xdr:col>8</xdr:col>
      <xdr:colOff>601980</xdr:colOff>
      <xdr:row>12</xdr:row>
      <xdr:rowOff>123824</xdr:rowOff>
    </xdr:to>
    <xdr:grpSp>
      <xdr:nvGrpSpPr>
        <xdr:cNvPr id="139" name="EXTRA CREDIT" descr="EXTRA CREDIT&#10;&#10;">
          <a:extLst>
            <a:ext uri="{FF2B5EF4-FFF2-40B4-BE49-F238E27FC236}">
              <a16:creationId xmlns:a16="http://schemas.microsoft.com/office/drawing/2014/main" id="{34B095E6-B82C-4533-81A2-82946450BAFD}"/>
            </a:ext>
          </a:extLst>
        </xdr:cNvPr>
        <xdr:cNvGrpSpPr/>
      </xdr:nvGrpSpPr>
      <xdr:grpSpPr>
        <a:xfrm>
          <a:off x="9443535" y="1844039"/>
          <a:ext cx="2794185" cy="1122045"/>
          <a:chOff x="9048750" y="3743325"/>
          <a:chExt cx="2263181" cy="1153413"/>
        </a:xfrm>
      </xdr:grpSpPr>
      <xdr:sp macro="" textlink="">
        <xdr:nvSpPr>
          <xdr:cNvPr id="140" name="Step" descr="EXTRA CREDIT&#10;You can raise a value to a power by using the carat (^) symbol, like =A1^A2. Enter it with Shift+6.&#10;">
            <a:extLst>
              <a:ext uri="{FF2B5EF4-FFF2-40B4-BE49-F238E27FC236}">
                <a16:creationId xmlns:a16="http://schemas.microsoft.com/office/drawing/2014/main" id="{675C53E6-D7B5-493F-A9ED-94DE7985453E}"/>
              </a:ext>
            </a:extLst>
          </xdr:cNvPr>
          <xdr:cNvSpPr txBox="1"/>
        </xdr:nvSpPr>
        <xdr:spPr>
          <a:xfrm>
            <a:off x="9648643" y="3895724"/>
            <a:ext cx="1663288" cy="1001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AVANTAGE SUPPLÉMENTAIRE</a:t>
            </a:r>
            <a:endParaRPr lang="en-US" sz="1200" b="1">
              <a:solidFill>
                <a:srgbClr val="ED7D31">
                  <a:lumMod val="60000"/>
                  <a:lumOff val="40000"/>
                </a:srgbClr>
              </a:solidFill>
              <a:latin typeface="+mj-lt"/>
              <a:ea typeface="Segoe UI" pitchFamily="34" charset="0"/>
              <a:cs typeface="Segoe UI"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Vous pouvez élever une valeur à une puissance en utilisant le symbole carat (</a:t>
            </a:r>
            <a:r>
              <a:rPr lang="en-US" sz="1100" b="1" i="0" kern="1200" baseline="0">
                <a:solidFill>
                  <a:schemeClr val="dk1"/>
                </a:solidFill>
                <a:effectLst/>
                <a:latin typeface="+mn-lt"/>
                <a:ea typeface="+mn-ea"/>
                <a:cs typeface="+mn-cs"/>
              </a:rPr>
              <a:t>^</a:t>
            </a:r>
            <a:r>
              <a:rPr lang="en-US" sz="1100" b="0" i="0" kern="1200" baseline="0">
                <a:solidFill>
                  <a:schemeClr val="dk1"/>
                </a:solidFill>
                <a:effectLst/>
                <a:latin typeface="+mn-lt"/>
                <a:ea typeface="+mn-ea"/>
                <a:cs typeface="+mn-cs"/>
              </a:rPr>
              <a:t>), comme </a:t>
            </a:r>
            <a:r>
              <a:rPr lang="en-US" sz="1100" b="1" i="0" kern="1200" baseline="0">
                <a:solidFill>
                  <a:schemeClr val="dk1"/>
                </a:solidFill>
                <a:effectLst/>
                <a:latin typeface="+mn-lt"/>
                <a:ea typeface="+mn-ea"/>
                <a:cs typeface="+mn-cs"/>
              </a:rPr>
              <a:t>=C3^C4</a:t>
            </a:r>
            <a:r>
              <a:rPr lang="en-US" sz="1100" b="0" i="0" kern="1200" baseline="0">
                <a:solidFill>
                  <a:schemeClr val="dk1"/>
                </a:solidFill>
                <a:effectLst/>
                <a:latin typeface="+mn-lt"/>
                <a:ea typeface="+mn-ea"/>
                <a:cs typeface="+mn-cs"/>
              </a:rPr>
              <a:t>.</a:t>
            </a:r>
          </a:p>
        </xdr:txBody>
      </xdr:sp>
      <xdr:pic>
        <xdr:nvPicPr>
          <xdr:cNvPr id="141" name="Extra credit ribbon" descr="Decorative ribbon">
            <a:extLst>
              <a:ext uri="{FF2B5EF4-FFF2-40B4-BE49-F238E27FC236}">
                <a16:creationId xmlns:a16="http://schemas.microsoft.com/office/drawing/2014/main" id="{8CCDA131-B8EE-49BF-B978-9C80B0D5FAF0}"/>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287099" y="3950551"/>
            <a:ext cx="474289" cy="439736"/>
          </a:xfrm>
          <a:prstGeom prst="rect">
            <a:avLst/>
          </a:prstGeom>
        </xdr:spPr>
      </xdr:pic>
      <xdr:sp macro="" textlink="">
        <xdr:nvSpPr>
          <xdr:cNvPr id="142" name="Extra Credit Arrow" descr="Arrow">
            <a:extLst>
              <a:ext uri="{FF2B5EF4-FFF2-40B4-BE49-F238E27FC236}">
                <a16:creationId xmlns:a16="http://schemas.microsoft.com/office/drawing/2014/main" id="{F2D8B853-541C-481F-8BBF-E827C4DE7D61}"/>
              </a:ext>
            </a:extLst>
          </xdr:cNvPr>
          <xdr:cNvSpPr/>
        </xdr:nvSpPr>
        <xdr:spPr>
          <a:xfrm rot="15682076" flipH="1">
            <a:off x="9021478" y="3770597"/>
            <a:ext cx="462029" cy="407486"/>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absolute">
    <xdr:from>
      <xdr:col>0</xdr:col>
      <xdr:colOff>352425</xdr:colOff>
      <xdr:row>53</xdr:row>
      <xdr:rowOff>47624</xdr:rowOff>
    </xdr:from>
    <xdr:to>
      <xdr:col>1</xdr:col>
      <xdr:colOff>5237988</xdr:colOff>
      <xdr:row>67</xdr:row>
      <xdr:rowOff>152399</xdr:rowOff>
    </xdr:to>
    <xdr:grpSp>
      <xdr:nvGrpSpPr>
        <xdr:cNvPr id="143" name="Group 142">
          <a:extLst>
            <a:ext uri="{FF2B5EF4-FFF2-40B4-BE49-F238E27FC236}">
              <a16:creationId xmlns:a16="http://schemas.microsoft.com/office/drawing/2014/main" id="{79AC946A-932E-4F38-8B0A-9F23F83F1E52}"/>
            </a:ext>
          </a:extLst>
        </xdr:cNvPr>
        <xdr:cNvGrpSpPr/>
      </xdr:nvGrpSpPr>
      <xdr:grpSpPr>
        <a:xfrm>
          <a:off x="352425" y="10776584"/>
          <a:ext cx="5754243" cy="2665095"/>
          <a:chOff x="350069" y="11620499"/>
          <a:chExt cx="5733288" cy="2771775"/>
        </a:xfrm>
      </xdr:grpSpPr>
      <xdr:sp macro="" textlink="">
        <xdr:nvSpPr>
          <xdr:cNvPr id="144" name="Rectangle 143">
            <a:extLst>
              <a:ext uri="{FF2B5EF4-FFF2-40B4-BE49-F238E27FC236}">
                <a16:creationId xmlns:a16="http://schemas.microsoft.com/office/drawing/2014/main" id="{03611DF3-2DDC-4C9F-9BD2-1914CDC70236}"/>
              </a:ext>
            </a:extLst>
          </xdr:cNvPr>
          <xdr:cNvSpPr/>
        </xdr:nvSpPr>
        <xdr:spPr>
          <a:xfrm>
            <a:off x="350069" y="11620499"/>
            <a:ext cx="5733288" cy="2771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45" name="Step" descr="More information on the web&#10;">
            <a:extLst>
              <a:ext uri="{FF2B5EF4-FFF2-40B4-BE49-F238E27FC236}">
                <a16:creationId xmlns:a16="http://schemas.microsoft.com/office/drawing/2014/main" id="{688CB3AD-6B8F-4152-822F-68C8F1EEED97}"/>
              </a:ext>
            </a:extLst>
          </xdr:cNvPr>
          <xdr:cNvSpPr txBox="1"/>
        </xdr:nvSpPr>
        <xdr:spPr>
          <a:xfrm>
            <a:off x="572393" y="11629541"/>
            <a:ext cx="5043964" cy="415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Plus d'informations sur le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46" name="Straight Connector 145" descr="Decorative line">
            <a:extLst>
              <a:ext uri="{FF2B5EF4-FFF2-40B4-BE49-F238E27FC236}">
                <a16:creationId xmlns:a16="http://schemas.microsoft.com/office/drawing/2014/main" id="{78299991-CCE6-4F28-81F0-C743EF2F129C}"/>
              </a:ext>
            </a:extLst>
          </xdr:cNvPr>
          <xdr:cNvCxnSpPr>
            <a:cxnSpLocks/>
          </xdr:cNvCxnSpPr>
        </xdr:nvCxnSpPr>
        <xdr:spPr>
          <a:xfrm>
            <a:off x="575439" y="12154546"/>
            <a:ext cx="528137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47" name="Straight Connector 146" descr="Decorative line">
            <a:extLst>
              <a:ext uri="{FF2B5EF4-FFF2-40B4-BE49-F238E27FC236}">
                <a16:creationId xmlns:a16="http://schemas.microsoft.com/office/drawing/2014/main" id="{C7CE393B-0A40-460B-ADC7-32213AED6195}"/>
              </a:ext>
            </a:extLst>
          </xdr:cNvPr>
          <xdr:cNvCxnSpPr>
            <a:cxnSpLocks/>
          </xdr:cNvCxnSpPr>
        </xdr:nvCxnSpPr>
        <xdr:spPr>
          <a:xfrm>
            <a:off x="575438" y="14248538"/>
            <a:ext cx="5285232"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555326</xdr:colOff>
      <xdr:row>56</xdr:row>
      <xdr:rowOff>74795</xdr:rowOff>
    </xdr:from>
    <xdr:to>
      <xdr:col>1</xdr:col>
      <xdr:colOff>2477523</xdr:colOff>
      <xdr:row>58</xdr:row>
      <xdr:rowOff>71568</xdr:rowOff>
    </xdr:to>
    <xdr:grpSp>
      <xdr:nvGrpSpPr>
        <xdr:cNvPr id="148" name="Group 147">
          <a:extLst>
            <a:ext uri="{FF2B5EF4-FFF2-40B4-BE49-F238E27FC236}">
              <a16:creationId xmlns:a16="http://schemas.microsoft.com/office/drawing/2014/main" id="{CA7B2371-3B06-4B9B-9469-235F43CE38D0}"/>
            </a:ext>
          </a:extLst>
        </xdr:cNvPr>
        <xdr:cNvGrpSpPr/>
      </xdr:nvGrpSpPr>
      <xdr:grpSpPr>
        <a:xfrm>
          <a:off x="555326" y="11352395"/>
          <a:ext cx="2790877" cy="362533"/>
          <a:chOff x="552970" y="11990570"/>
          <a:chExt cx="2769922" cy="377773"/>
        </a:xfrm>
      </xdr:grpSpPr>
      <xdr:sp macro="" textlink="">
        <xdr:nvSpPr>
          <xdr:cNvPr id="149" name="Step" descr="All about the AVERAGE function, Hyperlinked to web&#10;&#10;">
            <a:hlinkClick xmlns:r="http://schemas.openxmlformats.org/officeDocument/2006/relationships" r:id="rId6" tooltip="Select to learn all about using Excel as a calculator from the web"/>
            <a:extLst>
              <a:ext uri="{FF2B5EF4-FFF2-40B4-BE49-F238E27FC236}">
                <a16:creationId xmlns:a16="http://schemas.microsoft.com/office/drawing/2014/main" id="{94DAAE3B-3571-4AC2-BCCC-AD998F75E3DC}"/>
              </a:ext>
            </a:extLst>
          </xdr:cNvPr>
          <xdr:cNvSpPr txBox="1"/>
        </xdr:nvSpPr>
        <xdr:spPr>
          <a:xfrm>
            <a:off x="1002467" y="12068801"/>
            <a:ext cx="2320425" cy="2671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Excel as a calculator</a:t>
            </a:r>
          </a:p>
        </xdr:txBody>
      </xdr:sp>
      <xdr:pic>
        <xdr:nvPicPr>
          <xdr:cNvPr id="150" name="Graphic 22" descr="Select to learn more from the web">
            <a:hlinkClick xmlns:r="http://schemas.openxmlformats.org/officeDocument/2006/relationships" r:id="rId6" tooltip="Select to learn more from the web"/>
            <a:extLst>
              <a:ext uri="{FF2B5EF4-FFF2-40B4-BE49-F238E27FC236}">
                <a16:creationId xmlns:a16="http://schemas.microsoft.com/office/drawing/2014/main" id="{EBAE2967-711A-4896-A8B7-B7FA652650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1990570"/>
            <a:ext cx="475661" cy="377773"/>
          </a:xfrm>
          <a:prstGeom prst="rect">
            <a:avLst/>
          </a:prstGeom>
        </xdr:spPr>
      </xdr:pic>
    </xdr:grpSp>
    <xdr:clientData/>
  </xdr:twoCellAnchor>
  <xdr:twoCellAnchor editAs="absolute">
    <xdr:from>
      <xdr:col>0</xdr:col>
      <xdr:colOff>555326</xdr:colOff>
      <xdr:row>58</xdr:row>
      <xdr:rowOff>79825</xdr:rowOff>
    </xdr:from>
    <xdr:to>
      <xdr:col>1</xdr:col>
      <xdr:colOff>2505135</xdr:colOff>
      <xdr:row>60</xdr:row>
      <xdr:rowOff>82185</xdr:rowOff>
    </xdr:to>
    <xdr:grpSp>
      <xdr:nvGrpSpPr>
        <xdr:cNvPr id="151" name="Group 150" descr="Overview of formulas in Excel">
          <a:extLst>
            <a:ext uri="{FF2B5EF4-FFF2-40B4-BE49-F238E27FC236}">
              <a16:creationId xmlns:a16="http://schemas.microsoft.com/office/drawing/2014/main" id="{DBBBF993-8DF8-4B72-8129-E3AA07A81756}"/>
            </a:ext>
          </a:extLst>
        </xdr:cNvPr>
        <xdr:cNvGrpSpPr/>
      </xdr:nvGrpSpPr>
      <xdr:grpSpPr>
        <a:xfrm>
          <a:off x="555326" y="11723185"/>
          <a:ext cx="2818489" cy="368120"/>
          <a:chOff x="552970" y="12376600"/>
          <a:chExt cx="2797534" cy="383360"/>
        </a:xfrm>
      </xdr:grpSpPr>
      <xdr:sp macro="" textlink="">
        <xdr:nvSpPr>
          <xdr:cNvPr id="152" name="Step" descr="All about the COUNT function, hyperlinked to web&#10;">
            <a:hlinkClick xmlns:r="http://schemas.openxmlformats.org/officeDocument/2006/relationships" r:id="rId9" tooltip="Select to learn all about Excel formulas from the web"/>
            <a:extLst>
              <a:ext uri="{FF2B5EF4-FFF2-40B4-BE49-F238E27FC236}">
                <a16:creationId xmlns:a16="http://schemas.microsoft.com/office/drawing/2014/main" id="{68253150-FDCC-4078-B423-C873DCBF4AD9}"/>
              </a:ext>
            </a:extLst>
          </xdr:cNvPr>
          <xdr:cNvSpPr txBox="1"/>
        </xdr:nvSpPr>
        <xdr:spPr>
          <a:xfrm>
            <a:off x="1002467" y="12466356"/>
            <a:ext cx="2348037" cy="244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 of formulas in Excel</a:t>
            </a:r>
          </a:p>
        </xdr:txBody>
      </xdr:sp>
      <xdr:pic>
        <xdr:nvPicPr>
          <xdr:cNvPr id="153" name="Graphic 22" descr="Select to learn more from the web">
            <a:hlinkClick xmlns:r="http://schemas.openxmlformats.org/officeDocument/2006/relationships" r:id="rId9" tooltip="Select to learn more from the web"/>
            <a:extLst>
              <a:ext uri="{FF2B5EF4-FFF2-40B4-BE49-F238E27FC236}">
                <a16:creationId xmlns:a16="http://schemas.microsoft.com/office/drawing/2014/main" id="{8A744DEE-DB39-49DC-9ECF-DB49429F782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376600"/>
            <a:ext cx="475661" cy="383360"/>
          </a:xfrm>
          <a:prstGeom prst="rect">
            <a:avLst/>
          </a:prstGeom>
        </xdr:spPr>
      </xdr:pic>
    </xdr:grpSp>
    <xdr:clientData/>
  </xdr:twoCellAnchor>
  <xdr:twoCellAnchor editAs="absolute">
    <xdr:from>
      <xdr:col>0</xdr:col>
      <xdr:colOff>555326</xdr:colOff>
      <xdr:row>60</xdr:row>
      <xdr:rowOff>98623</xdr:rowOff>
    </xdr:from>
    <xdr:to>
      <xdr:col>1</xdr:col>
      <xdr:colOff>2412180</xdr:colOff>
      <xdr:row>62</xdr:row>
      <xdr:rowOff>95396</xdr:rowOff>
    </xdr:to>
    <xdr:grpSp>
      <xdr:nvGrpSpPr>
        <xdr:cNvPr id="154" name="Group 153">
          <a:extLst>
            <a:ext uri="{FF2B5EF4-FFF2-40B4-BE49-F238E27FC236}">
              <a16:creationId xmlns:a16="http://schemas.microsoft.com/office/drawing/2014/main" id="{97003A87-44BF-4E57-A760-19DF355C2169}"/>
            </a:ext>
          </a:extLst>
        </xdr:cNvPr>
        <xdr:cNvGrpSpPr/>
      </xdr:nvGrpSpPr>
      <xdr:grpSpPr>
        <a:xfrm>
          <a:off x="555326" y="12107743"/>
          <a:ext cx="2725534" cy="362533"/>
          <a:chOff x="552970" y="12776398"/>
          <a:chExt cx="2704579" cy="377773"/>
        </a:xfrm>
      </xdr:grpSpPr>
      <xdr:sp macro="" textlink="">
        <xdr:nvSpPr>
          <xdr:cNvPr id="155" name="Step" descr="Use Excel as your calculator, hyperlinked to web&#10;">
            <a:hlinkClick xmlns:r="http://schemas.openxmlformats.org/officeDocument/2006/relationships" r:id="rId10" tooltip="Select to learn about Excel functions by category from the web"/>
            <a:extLst>
              <a:ext uri="{FF2B5EF4-FFF2-40B4-BE49-F238E27FC236}">
                <a16:creationId xmlns:a16="http://schemas.microsoft.com/office/drawing/2014/main" id="{1B8A91B8-3AD1-4CBF-A83F-989016E1EFCA}"/>
              </a:ext>
            </a:extLst>
          </xdr:cNvPr>
          <xdr:cNvSpPr txBox="1"/>
        </xdr:nvSpPr>
        <xdr:spPr>
          <a:xfrm>
            <a:off x="1002466" y="12860578"/>
            <a:ext cx="2255083" cy="249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 category) </a:t>
            </a:r>
          </a:p>
        </xdr:txBody>
      </xdr:sp>
      <xdr:pic>
        <xdr:nvPicPr>
          <xdr:cNvPr id="156" name="Graphic 155" descr="Select to learn more from the web">
            <a:hlinkClick xmlns:r="http://schemas.openxmlformats.org/officeDocument/2006/relationships" r:id="rId10" tooltip="Select to learn more from the web"/>
            <a:extLst>
              <a:ext uri="{FF2B5EF4-FFF2-40B4-BE49-F238E27FC236}">
                <a16:creationId xmlns:a16="http://schemas.microsoft.com/office/drawing/2014/main" id="{6A002DE9-B460-4DEF-89B0-9CE1D5FEA44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52970" y="12776398"/>
            <a:ext cx="475661" cy="377773"/>
          </a:xfrm>
          <a:prstGeom prst="rect">
            <a:avLst/>
          </a:prstGeom>
        </xdr:spPr>
      </xdr:pic>
    </xdr:grpSp>
    <xdr:clientData/>
  </xdr:twoCellAnchor>
  <xdr:twoCellAnchor editAs="absolute">
    <xdr:from>
      <xdr:col>0</xdr:col>
      <xdr:colOff>567509</xdr:colOff>
      <xdr:row>62</xdr:row>
      <xdr:rowOff>110482</xdr:rowOff>
    </xdr:from>
    <xdr:to>
      <xdr:col>1</xdr:col>
      <xdr:colOff>2669355</xdr:colOff>
      <xdr:row>64</xdr:row>
      <xdr:rowOff>112842</xdr:rowOff>
    </xdr:to>
    <xdr:grpSp>
      <xdr:nvGrpSpPr>
        <xdr:cNvPr id="157" name="Group 156">
          <a:extLst>
            <a:ext uri="{FF2B5EF4-FFF2-40B4-BE49-F238E27FC236}">
              <a16:creationId xmlns:a16="http://schemas.microsoft.com/office/drawing/2014/main" id="{71257630-43F1-4787-B9D3-FAD6BF048228}"/>
            </a:ext>
          </a:extLst>
        </xdr:cNvPr>
        <xdr:cNvGrpSpPr/>
      </xdr:nvGrpSpPr>
      <xdr:grpSpPr>
        <a:xfrm>
          <a:off x="567509" y="12485362"/>
          <a:ext cx="2970526" cy="368120"/>
          <a:chOff x="565153" y="13169257"/>
          <a:chExt cx="2949571" cy="383360"/>
        </a:xfrm>
      </xdr:grpSpPr>
      <xdr:sp macro="" textlink="">
        <xdr:nvSpPr>
          <xdr:cNvPr id="158" name="Step" descr="Free Excel training online, hyperlinked to web&#10;">
            <a:hlinkClick xmlns:r="http://schemas.openxmlformats.org/officeDocument/2006/relationships" r:id="rId11" tooltip="Select to learn all about Excel functions (alphabetical) from the web"/>
            <a:extLst>
              <a:ext uri="{FF2B5EF4-FFF2-40B4-BE49-F238E27FC236}">
                <a16:creationId xmlns:a16="http://schemas.microsoft.com/office/drawing/2014/main" id="{A1D2C3A9-E7A3-44B5-93E4-99B051F60D72}"/>
              </a:ext>
            </a:extLst>
          </xdr:cNvPr>
          <xdr:cNvSpPr txBox="1"/>
        </xdr:nvSpPr>
        <xdr:spPr>
          <a:xfrm>
            <a:off x="1014649" y="13253084"/>
            <a:ext cx="2500075"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 </a:t>
            </a:r>
          </a:p>
        </xdr:txBody>
      </xdr:sp>
      <xdr:pic>
        <xdr:nvPicPr>
          <xdr:cNvPr id="159" name="Graphic 22" descr="Select to learn more from the web">
            <a:hlinkClick xmlns:r="http://schemas.openxmlformats.org/officeDocument/2006/relationships" r:id="rId11" tooltip="Select to learn more from the web"/>
            <a:extLst>
              <a:ext uri="{FF2B5EF4-FFF2-40B4-BE49-F238E27FC236}">
                <a16:creationId xmlns:a16="http://schemas.microsoft.com/office/drawing/2014/main" id="{39497227-C71D-4FA2-9B71-A022FF7F1C6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65153" y="13169257"/>
            <a:ext cx="475661" cy="383360"/>
          </a:xfrm>
          <a:prstGeom prst="rect">
            <a:avLst/>
          </a:prstGeom>
        </xdr:spPr>
      </xdr:pic>
    </xdr:grpSp>
    <xdr:clientData/>
  </xdr:twoCellAnchor>
  <xdr:twoCellAnchor editAs="absolute">
    <xdr:from>
      <xdr:col>0</xdr:col>
      <xdr:colOff>577034</xdr:colOff>
      <xdr:row>64</xdr:row>
      <xdr:rowOff>110482</xdr:rowOff>
    </xdr:from>
    <xdr:to>
      <xdr:col>1</xdr:col>
      <xdr:colOff>2148892</xdr:colOff>
      <xdr:row>66</xdr:row>
      <xdr:rowOff>112842</xdr:rowOff>
    </xdr:to>
    <xdr:grpSp>
      <xdr:nvGrpSpPr>
        <xdr:cNvPr id="160" name="Group 159">
          <a:extLst>
            <a:ext uri="{FF2B5EF4-FFF2-40B4-BE49-F238E27FC236}">
              <a16:creationId xmlns:a16="http://schemas.microsoft.com/office/drawing/2014/main" id="{32835AA2-E6D6-41DC-B4E4-AF07FAC19150}"/>
            </a:ext>
          </a:extLst>
        </xdr:cNvPr>
        <xdr:cNvGrpSpPr/>
      </xdr:nvGrpSpPr>
      <xdr:grpSpPr>
        <a:xfrm>
          <a:off x="577034" y="12851122"/>
          <a:ext cx="2440538" cy="368120"/>
          <a:chOff x="574678" y="13550257"/>
          <a:chExt cx="2419583" cy="383360"/>
        </a:xfrm>
      </xdr:grpSpPr>
      <xdr:sp macro="" textlink="">
        <xdr:nvSpPr>
          <xdr:cNvPr id="161" name="Step" descr="Free Excel training online, hyperlinked to web&#10;">
            <a:hlinkClick xmlns:r="http://schemas.openxmlformats.org/officeDocument/2006/relationships" r:id="rId12" tooltip="Select to learn Free Excel training online from the web"/>
            <a:extLst>
              <a:ext uri="{FF2B5EF4-FFF2-40B4-BE49-F238E27FC236}">
                <a16:creationId xmlns:a16="http://schemas.microsoft.com/office/drawing/2014/main" id="{BBD9D617-8BE8-4A77-A4A7-46711DF153C7}"/>
              </a:ext>
            </a:extLst>
          </xdr:cNvPr>
          <xdr:cNvSpPr txBox="1"/>
        </xdr:nvSpPr>
        <xdr:spPr>
          <a:xfrm>
            <a:off x="1024175" y="13634084"/>
            <a:ext cx="1970086" cy="26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2" name="Graphic 22" descr="Select to learn more from the web">
            <a:hlinkClick xmlns:r="http://schemas.openxmlformats.org/officeDocument/2006/relationships" r:id="rId12" tooltip="Select to learn more from the web"/>
            <a:extLst>
              <a:ext uri="{FF2B5EF4-FFF2-40B4-BE49-F238E27FC236}">
                <a16:creationId xmlns:a16="http://schemas.microsoft.com/office/drawing/2014/main" id="{3D7A9E61-8947-4BBC-839B-5B5A5DD9C3E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74678" y="13550257"/>
            <a:ext cx="475661" cy="383360"/>
          </a:xfrm>
          <a:prstGeom prst="rect">
            <a:avLst/>
          </a:prstGeom>
        </xdr:spPr>
      </xdr:pic>
    </xdr:grpSp>
    <xdr:clientData/>
  </xdr:twoCellAnchor>
  <xdr:twoCellAnchor editAs="absolute">
    <xdr:from>
      <xdr:col>1</xdr:col>
      <xdr:colOff>5491163</xdr:colOff>
      <xdr:row>3</xdr:row>
      <xdr:rowOff>168733</xdr:rowOff>
    </xdr:from>
    <xdr:to>
      <xdr:col>5</xdr:col>
      <xdr:colOff>175260</xdr:colOff>
      <xdr:row>12</xdr:row>
      <xdr:rowOff>38101</xdr:rowOff>
    </xdr:to>
    <xdr:grpSp>
      <xdr:nvGrpSpPr>
        <xdr:cNvPr id="163" name="Group 162">
          <a:extLst>
            <a:ext uri="{FF2B5EF4-FFF2-40B4-BE49-F238E27FC236}">
              <a16:creationId xmlns:a16="http://schemas.microsoft.com/office/drawing/2014/main" id="{C2C01485-52DA-46D7-91BA-2CB22C9C592D}"/>
            </a:ext>
          </a:extLst>
        </xdr:cNvPr>
        <xdr:cNvGrpSpPr/>
      </xdr:nvGrpSpPr>
      <xdr:grpSpPr>
        <a:xfrm>
          <a:off x="6359843" y="1319353"/>
          <a:ext cx="2837497" cy="1561008"/>
          <a:chOff x="6284692" y="1189724"/>
          <a:chExt cx="2603479" cy="1603076"/>
        </a:xfrm>
      </xdr:grpSpPr>
      <xdr:grpSp>
        <xdr:nvGrpSpPr>
          <xdr:cNvPr id="164" name="Bracket lines">
            <a:extLst>
              <a:ext uri="{FF2B5EF4-FFF2-40B4-BE49-F238E27FC236}">
                <a16:creationId xmlns:a16="http://schemas.microsoft.com/office/drawing/2014/main" id="{C6C732D8-8C93-4CFB-BAD8-7EB1D0E191AF}"/>
              </a:ext>
            </a:extLst>
          </xdr:cNvPr>
          <xdr:cNvGrpSpPr/>
        </xdr:nvGrpSpPr>
        <xdr:grpSpPr>
          <a:xfrm rot="5886532">
            <a:off x="6795435" y="1007424"/>
            <a:ext cx="563095" cy="927696"/>
            <a:chOff x="9786972" y="1008297"/>
            <a:chExt cx="273326" cy="789155"/>
          </a:xfrm>
        </xdr:grpSpPr>
        <xdr:sp macro="" textlink="">
          <xdr:nvSpPr>
            <xdr:cNvPr id="167" name="Another bracket line" descr="Bracket line">
              <a:extLst>
                <a:ext uri="{FF2B5EF4-FFF2-40B4-BE49-F238E27FC236}">
                  <a16:creationId xmlns:a16="http://schemas.microsoft.com/office/drawing/2014/main" id="{CE60D9BE-1267-484B-8547-1136C10EC14C}"/>
                </a:ext>
              </a:extLst>
            </xdr:cNvPr>
            <xdr:cNvSpPr/>
          </xdr:nvSpPr>
          <xdr:spPr>
            <a:xfrm>
              <a:off x="9786972" y="1008297"/>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68" name="Bracket line" descr="Bracket line&#10;">
              <a:extLst>
                <a:ext uri="{FF2B5EF4-FFF2-40B4-BE49-F238E27FC236}">
                  <a16:creationId xmlns:a16="http://schemas.microsoft.com/office/drawing/2014/main" id="{5B02AF09-F448-47F0-A846-E12FFA754450}"/>
                </a:ext>
              </a:extLst>
            </xdr:cNvPr>
            <xdr:cNvSpPr/>
          </xdr:nvSpPr>
          <xdr:spPr>
            <a:xfrm>
              <a:off x="9898875" y="1254854"/>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65" name="Stars" descr="Stars">
            <a:extLst>
              <a:ext uri="{FF2B5EF4-FFF2-40B4-BE49-F238E27FC236}">
                <a16:creationId xmlns:a16="http://schemas.microsoft.com/office/drawing/2014/main" id="{7A19B73F-71AE-41DE-BB2D-C688A7125981}"/>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284692" y="1993317"/>
            <a:ext cx="323250" cy="337815"/>
          </a:xfrm>
          <a:prstGeom prst="rect">
            <a:avLst/>
          </a:prstGeom>
        </xdr:spPr>
      </xdr:pic>
      <xdr:sp macro="" textlink="">
        <xdr:nvSpPr>
          <xdr:cNvPr id="166" name="Instructions" descr="CHECK THIS OUT&#10;Change the numbers here, and watch the formula results automatically change.&#10;">
            <a:extLst>
              <a:ext uri="{FF2B5EF4-FFF2-40B4-BE49-F238E27FC236}">
                <a16:creationId xmlns:a16="http://schemas.microsoft.com/office/drawing/2014/main" id="{50555AA4-008E-4DD4-89F8-AF46A3D1D5A7}"/>
              </a:ext>
            </a:extLst>
          </xdr:cNvPr>
          <xdr:cNvSpPr txBox="1"/>
        </xdr:nvSpPr>
        <xdr:spPr>
          <a:xfrm>
            <a:off x="6667108" y="1893684"/>
            <a:ext cx="2221063" cy="899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REGARDE</a:t>
            </a:r>
            <a:r>
              <a:rPr lang="en-US" sz="1200" b="1" kern="0" baseline="0">
                <a:solidFill>
                  <a:srgbClr val="ED7D31">
                    <a:lumMod val="60000"/>
                    <a:lumOff val="40000"/>
                  </a:srgbClr>
                </a:solidFill>
                <a:latin typeface="+mj-lt"/>
                <a:ea typeface="Segoe UI" pitchFamily="34" charset="0"/>
                <a:cs typeface="Segoe UI Light" panose="020B0502040204020203" pitchFamily="34" charset="0"/>
              </a:rPr>
              <a:t> CA</a:t>
            </a:r>
            <a:endParaRPr lang="en-US" sz="1200" b="1" kern="0">
              <a:solidFill>
                <a:srgbClr val="ED7D31">
                  <a:lumMod val="60000"/>
                  <a:lumOff val="40000"/>
                </a:srgbClr>
              </a:solidFill>
              <a:latin typeface="+mj-lt"/>
              <a:ea typeface="Segoe UI" pitchFamily="34" charset="0"/>
              <a:cs typeface="Segoe UI Light" panose="020B0502040204020203" pitchFamily="34" charset="0"/>
            </a:endParaRPr>
          </a:p>
          <a:p>
            <a:r>
              <a:rPr lang="en-US" sz="1200" kern="1200">
                <a:solidFill>
                  <a:schemeClr val="dk1"/>
                </a:solidFill>
                <a:effectLst/>
                <a:latin typeface="+mn-lt"/>
                <a:ea typeface="+mn-ea"/>
                <a:cs typeface="+mn-cs"/>
              </a:rPr>
              <a:t>Modifiez les chiffres ici et regardez les résultats de la formule changer automatiquement.</a:t>
            </a:r>
            <a:endParaRPr lang="en-US" sz="900">
              <a:effectLst/>
            </a:endParaRPr>
          </a:p>
        </xdr:txBody>
      </xdr:sp>
    </xdr:grpSp>
    <xdr:clientData/>
  </xdr:twoCellAnchor>
  <xdr:twoCellAnchor editAs="absolute">
    <xdr:from>
      <xdr:col>6</xdr:col>
      <xdr:colOff>433106</xdr:colOff>
      <xdr:row>25</xdr:row>
      <xdr:rowOff>129774</xdr:rowOff>
    </xdr:from>
    <xdr:to>
      <xdr:col>12</xdr:col>
      <xdr:colOff>259530</xdr:colOff>
      <xdr:row>35</xdr:row>
      <xdr:rowOff>6301</xdr:rowOff>
    </xdr:to>
    <xdr:grpSp>
      <xdr:nvGrpSpPr>
        <xdr:cNvPr id="170" name="GOOD TO KNOW" descr="GOOD TO KNOW&#10;&#10;">
          <a:extLst>
            <a:ext uri="{FF2B5EF4-FFF2-40B4-BE49-F238E27FC236}">
              <a16:creationId xmlns:a16="http://schemas.microsoft.com/office/drawing/2014/main" id="{C43C872B-4996-44B6-9821-46907E2D5805}"/>
            </a:ext>
          </a:extLst>
        </xdr:cNvPr>
        <xdr:cNvGrpSpPr/>
      </xdr:nvGrpSpPr>
      <xdr:grpSpPr>
        <a:xfrm>
          <a:off x="10529606" y="5593314"/>
          <a:ext cx="3865024" cy="1850107"/>
          <a:chOff x="7053810" y="15226304"/>
          <a:chExt cx="3722724" cy="1662195"/>
        </a:xfrm>
      </xdr:grpSpPr>
      <xdr:sp macro="" textlink="">
        <xdr:nvSpPr>
          <xdr:cNvPr id="212" name="Step" descr="GOOD TO KNOW&#10;Constants are values that you enter in cells or formulas. While =10+20 might calculate the same as =A1+B1, constants aren't a good practice. Why? Because you can't easily see the constant without selecting the cell and looking for it. That can make it hard to change later. It's much easier to put your constants in cells, where they can be easily adjusted, and referenced in your formulas.&#10;&#10;For example: Select the yellow cell with 12 below. You'll see we used the SUM function with a range of cells. We didn't type in &quot;4&quot; or &quot;8&quot; directly into the formula. &#10;">
            <a:extLst>
              <a:ext uri="{FF2B5EF4-FFF2-40B4-BE49-F238E27FC236}">
                <a16:creationId xmlns:a16="http://schemas.microsoft.com/office/drawing/2014/main" id="{D04FEABC-54EC-41D4-8544-354A180A4128}"/>
              </a:ext>
            </a:extLst>
          </xdr:cNvPr>
          <xdr:cNvSpPr txBox="1"/>
        </xdr:nvSpPr>
        <xdr:spPr>
          <a:xfrm>
            <a:off x="7377112" y="15262899"/>
            <a:ext cx="339942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BON</a:t>
            </a:r>
            <a:r>
              <a:rPr lang="en-US" sz="1200" b="1" kern="0" baseline="0">
                <a:solidFill>
                  <a:srgbClr val="ED7D31">
                    <a:lumMod val="60000"/>
                    <a:lumOff val="40000"/>
                  </a:srgbClr>
                </a:solidFill>
                <a:latin typeface="+mj-lt"/>
                <a:ea typeface="Segoe UI" pitchFamily="34" charset="0"/>
                <a:cs typeface="Segoe UI Light" panose="020B0502040204020203" pitchFamily="34" charset="0"/>
              </a:rPr>
              <a:t> A SAVOIR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Les constantes sont des valeurs que vous entrez dans des cellules ou des formules. Bien que =10*20 puisse calculer la même chose que =A1+B1, les constantes ne sont pas une bonne pratique. Pourquoi? Parce que vous ne pouvez pas facilement voir la constante sans sélectionner la cellule et la chercher. Cela peut rendre difficile de changer plus tard. Il est beaucoup plus facile de mettre vos constantes dans des cellules, où elles peuvent être facilement ajustées et référencées dans vos formules.</a:t>
            </a:r>
          </a:p>
          <a:p>
            <a:pPr eaLnBrk="1" fontAlgn="auto" latinLnBrk="0" hangingPunct="1"/>
            <a:r>
              <a:rPr lang="en-US" sz="1100" b="0" i="0" kern="1200" baseline="0">
                <a:solidFill>
                  <a:schemeClr val="dk1"/>
                </a:solidFill>
                <a:effectLst/>
                <a:latin typeface="+mn-lt"/>
                <a:ea typeface="+mn-ea"/>
                <a:cs typeface="+mn-cs"/>
              </a:rPr>
              <a:t>Par exemple : Sélectionnez la cellule jaune avec </a:t>
            </a:r>
            <a:r>
              <a:rPr lang="en-US" sz="1100" b="1" i="0" kern="1200" baseline="0">
                <a:solidFill>
                  <a:schemeClr val="dk1"/>
                </a:solidFill>
                <a:effectLst/>
                <a:latin typeface="+mn-lt"/>
                <a:ea typeface="+mn-ea"/>
                <a:cs typeface="+mn-cs"/>
              </a:rPr>
              <a:t>12</a:t>
            </a:r>
            <a:r>
              <a:rPr lang="en-US" sz="1100" b="0" i="0" kern="1200" baseline="0">
                <a:solidFill>
                  <a:schemeClr val="dk1"/>
                </a:solidFill>
                <a:effectLst/>
                <a:latin typeface="+mn-lt"/>
                <a:ea typeface="+mn-ea"/>
                <a:cs typeface="+mn-cs"/>
              </a:rPr>
              <a:t> en dessous. Vous verrez que nous avons utilisé la fonction </a:t>
            </a:r>
            <a:r>
              <a:rPr lang="en-US" sz="1100" b="1" i="0" kern="1200" baseline="0">
                <a:solidFill>
                  <a:schemeClr val="dk1"/>
                </a:solidFill>
                <a:effectLst/>
                <a:latin typeface="+mn-lt"/>
                <a:ea typeface="+mn-ea"/>
                <a:cs typeface="+mn-cs"/>
              </a:rPr>
              <a:t>SOMME</a:t>
            </a:r>
            <a:r>
              <a:rPr lang="en-US" sz="1100" b="0" i="0" kern="1200" baseline="0">
                <a:solidFill>
                  <a:schemeClr val="dk1"/>
                </a:solidFill>
                <a:effectLst/>
                <a:latin typeface="+mn-lt"/>
                <a:ea typeface="+mn-ea"/>
                <a:cs typeface="+mn-cs"/>
              </a:rPr>
              <a:t> avec une plage de cellules. Nous n’avons pas tapé « 4 » ou « 8 » directement dans la formule. </a:t>
            </a:r>
          </a:p>
        </xdr:txBody>
      </xdr:sp>
      <xdr:pic>
        <xdr:nvPicPr>
          <xdr:cNvPr id="213" name="Graphic 147" descr="Glasses">
            <a:extLst>
              <a:ext uri="{FF2B5EF4-FFF2-40B4-BE49-F238E27FC236}">
                <a16:creationId xmlns:a16="http://schemas.microsoft.com/office/drawing/2014/main" id="{720D4EE0-7550-4DC7-A79F-7DA9F6C0DF04}"/>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7053810" y="15226304"/>
            <a:ext cx="323347" cy="349115"/>
          </a:xfrm>
          <a:prstGeom prst="rect">
            <a:avLst/>
          </a:prstGeom>
        </xdr:spPr>
      </xdr:pic>
    </xdr:grpSp>
    <xdr:clientData/>
  </xdr:twoCellAnchor>
  <xdr:twoCellAnchor editAs="absolute">
    <xdr:from>
      <xdr:col>1</xdr:col>
      <xdr:colOff>5393388</xdr:colOff>
      <xdr:row>27</xdr:row>
      <xdr:rowOff>229899</xdr:rowOff>
    </xdr:from>
    <xdr:to>
      <xdr:col>4</xdr:col>
      <xdr:colOff>220980</xdr:colOff>
      <xdr:row>30</xdr:row>
      <xdr:rowOff>17807</xdr:rowOff>
    </xdr:to>
    <xdr:sp macro="" textlink="">
      <xdr:nvSpPr>
        <xdr:cNvPr id="198" name="txt_Formula" descr="=A1+B1 &#10;">
          <a:extLst>
            <a:ext uri="{FF2B5EF4-FFF2-40B4-BE49-F238E27FC236}">
              <a16:creationId xmlns:a16="http://schemas.microsoft.com/office/drawing/2014/main" id="{09925615-92E5-4FED-ABD0-95B91AFE7A89}"/>
            </a:ext>
          </a:extLst>
        </xdr:cNvPr>
        <xdr:cNvSpPr txBox="1"/>
      </xdr:nvSpPr>
      <xdr:spPr>
        <a:xfrm>
          <a:off x="6262068" y="6059199"/>
          <a:ext cx="1746552" cy="481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=A1+B1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2</xdr:col>
      <xdr:colOff>314820</xdr:colOff>
      <xdr:row>27</xdr:row>
      <xdr:rowOff>247328</xdr:rowOff>
    </xdr:from>
    <xdr:to>
      <xdr:col>2</xdr:col>
      <xdr:colOff>534004</xdr:colOff>
      <xdr:row>28</xdr:row>
      <xdr:rowOff>34707</xdr:rowOff>
    </xdr:to>
    <xdr:sp macro="" textlink="">
      <xdr:nvSpPr>
        <xdr:cNvPr id="199" name="FormulaBraceUpper">
          <a:extLst>
            <a:ext uri="{FF2B5EF4-FFF2-40B4-BE49-F238E27FC236}">
              <a16:creationId xmlns:a16="http://schemas.microsoft.com/office/drawing/2014/main" id="{06B625F0-B6FF-4FB6-82EE-37D7B29DEADC}"/>
            </a:ext>
          </a:extLst>
        </xdr:cNvPr>
        <xdr:cNvSpPr/>
      </xdr:nvSpPr>
      <xdr:spPr>
        <a:xfrm rot="5400000">
          <a:off x="7195841" y="5944070"/>
          <a:ext cx="115991" cy="21918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2</xdr:col>
      <xdr:colOff>35942</xdr:colOff>
      <xdr:row>26</xdr:row>
      <xdr:rowOff>162717</xdr:rowOff>
    </xdr:from>
    <xdr:to>
      <xdr:col>2</xdr:col>
      <xdr:colOff>839891</xdr:colOff>
      <xdr:row>27</xdr:row>
      <xdr:rowOff>226414</xdr:rowOff>
    </xdr:to>
    <xdr:sp macro="" textlink="">
      <xdr:nvSpPr>
        <xdr:cNvPr id="200" name="txt_FormulaCalloutUpper" descr="Operator&#10;">
          <a:extLst>
            <a:ext uri="{FF2B5EF4-FFF2-40B4-BE49-F238E27FC236}">
              <a16:creationId xmlns:a16="http://schemas.microsoft.com/office/drawing/2014/main" id="{FEB264EE-E7A0-4BFB-BBE2-0F36D6F84A74}"/>
            </a:ext>
          </a:extLst>
        </xdr:cNvPr>
        <xdr:cNvSpPr txBox="1">
          <a:spLocks noChangeArrowheads="1"/>
        </xdr:cNvSpPr>
      </xdr:nvSpPr>
      <xdr:spPr bwMode="auto">
        <a:xfrm>
          <a:off x="6865367" y="5730080"/>
          <a:ext cx="803949" cy="244672"/>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Operateur</a:t>
          </a:r>
        </a:p>
      </xdr:txBody>
    </xdr:sp>
    <xdr:clientData/>
  </xdr:twoCellAnchor>
  <xdr:twoCellAnchor editAs="absolute">
    <xdr:from>
      <xdr:col>1</xdr:col>
      <xdr:colOff>5638057</xdr:colOff>
      <xdr:row>30</xdr:row>
      <xdr:rowOff>6379</xdr:rowOff>
    </xdr:from>
    <xdr:to>
      <xdr:col>2</xdr:col>
      <xdr:colOff>449583</xdr:colOff>
      <xdr:row>30</xdr:row>
      <xdr:rowOff>106680</xdr:rowOff>
    </xdr:to>
    <xdr:sp macro="" textlink="">
      <xdr:nvSpPr>
        <xdr:cNvPr id="201" name="FormulaBraceUpper">
          <a:extLst>
            <a:ext uri="{FF2B5EF4-FFF2-40B4-BE49-F238E27FC236}">
              <a16:creationId xmlns:a16="http://schemas.microsoft.com/office/drawing/2014/main" id="{3CB31A99-96D7-4A5F-A2D8-6091936DBB59}"/>
            </a:ext>
          </a:extLst>
        </xdr:cNvPr>
        <xdr:cNvSpPr/>
      </xdr:nvSpPr>
      <xdr:spPr>
        <a:xfrm rot="16200000">
          <a:off x="6704609" y="6331227"/>
          <a:ext cx="100301" cy="49604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1</xdr:col>
      <xdr:colOff>5364481</xdr:colOff>
      <xdr:row>30</xdr:row>
      <xdr:rowOff>153730</xdr:rowOff>
    </xdr:from>
    <xdr:to>
      <xdr:col>2</xdr:col>
      <xdr:colOff>453583</xdr:colOff>
      <xdr:row>34</xdr:row>
      <xdr:rowOff>60960</xdr:rowOff>
    </xdr:to>
    <xdr:sp macro="" textlink="">
      <xdr:nvSpPr>
        <xdr:cNvPr id="202" name="txt_FormulaCalloutUpper" descr="Cell reference&#10;&#10;">
          <a:extLst>
            <a:ext uri="{FF2B5EF4-FFF2-40B4-BE49-F238E27FC236}">
              <a16:creationId xmlns:a16="http://schemas.microsoft.com/office/drawing/2014/main" id="{E6F187D6-FF2E-4EFC-AFAA-20952A07D390}"/>
            </a:ext>
          </a:extLst>
        </xdr:cNvPr>
        <xdr:cNvSpPr txBox="1">
          <a:spLocks noChangeArrowheads="1"/>
        </xdr:cNvSpPr>
      </xdr:nvSpPr>
      <xdr:spPr bwMode="auto">
        <a:xfrm>
          <a:off x="6233161" y="6676450"/>
          <a:ext cx="773622" cy="6387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Référence</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de la cellule</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twoCellAnchor editAs="absolute">
    <xdr:from>
      <xdr:col>2</xdr:col>
      <xdr:colOff>538856</xdr:colOff>
      <xdr:row>30</xdr:row>
      <xdr:rowOff>6379</xdr:rowOff>
    </xdr:from>
    <xdr:to>
      <xdr:col>2</xdr:col>
      <xdr:colOff>1073113</xdr:colOff>
      <xdr:row>30</xdr:row>
      <xdr:rowOff>122370</xdr:rowOff>
    </xdr:to>
    <xdr:sp macro="" textlink="">
      <xdr:nvSpPr>
        <xdr:cNvPr id="203" name="FormulaBraceUpper">
          <a:extLst>
            <a:ext uri="{FF2B5EF4-FFF2-40B4-BE49-F238E27FC236}">
              <a16:creationId xmlns:a16="http://schemas.microsoft.com/office/drawing/2014/main" id="{872F7C58-72FF-46FC-8EC4-AEF5C7512D62}"/>
            </a:ext>
          </a:extLst>
        </xdr:cNvPr>
        <xdr:cNvSpPr/>
      </xdr:nvSpPr>
      <xdr:spPr>
        <a:xfrm rot="16200000">
          <a:off x="7581224" y="6232336"/>
          <a:ext cx="115991" cy="54187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477268</xdr:colOff>
      <xdr:row>27</xdr:row>
      <xdr:rowOff>229899</xdr:rowOff>
    </xdr:from>
    <xdr:to>
      <xdr:col>5</xdr:col>
      <xdr:colOff>1036319</xdr:colOff>
      <xdr:row>30</xdr:row>
      <xdr:rowOff>17807</xdr:rowOff>
    </xdr:to>
    <xdr:sp macro="" textlink="">
      <xdr:nvSpPr>
        <xdr:cNvPr id="205" name="txt_Formula" descr="=10*20 &#10;">
          <a:extLst>
            <a:ext uri="{FF2B5EF4-FFF2-40B4-BE49-F238E27FC236}">
              <a16:creationId xmlns:a16="http://schemas.microsoft.com/office/drawing/2014/main" id="{B5C03097-B1E4-4C44-A3A7-E2260FC430EB}"/>
            </a:ext>
          </a:extLst>
        </xdr:cNvPr>
        <xdr:cNvSpPr txBox="1"/>
      </xdr:nvSpPr>
      <xdr:spPr>
        <a:xfrm>
          <a:off x="8264908" y="6059199"/>
          <a:ext cx="1793491" cy="4813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=10*20 </a:t>
          </a:r>
          <a:endParaRPr lang="en-US" sz="3600">
            <a:effectLst/>
            <a:latin typeface="Times New Roman" panose="02020603050405020304" pitchFamily="18" charset="0"/>
            <a:ea typeface="Times New Roman" panose="02020603050405020304" pitchFamily="18" charset="0"/>
          </a:endParaRPr>
        </a:p>
      </xdr:txBody>
    </xdr:sp>
    <xdr:clientData/>
  </xdr:twoCellAnchor>
  <xdr:twoCellAnchor editAs="absolute">
    <xdr:from>
      <xdr:col>5</xdr:col>
      <xdr:colOff>40648</xdr:colOff>
      <xdr:row>27</xdr:row>
      <xdr:rowOff>247329</xdr:rowOff>
    </xdr:from>
    <xdr:to>
      <xdr:col>5</xdr:col>
      <xdr:colOff>263926</xdr:colOff>
      <xdr:row>28</xdr:row>
      <xdr:rowOff>34708</xdr:rowOff>
    </xdr:to>
    <xdr:sp macro="" textlink="">
      <xdr:nvSpPr>
        <xdr:cNvPr id="206" name="FormulaBraceUpper">
          <a:extLst>
            <a:ext uri="{FF2B5EF4-FFF2-40B4-BE49-F238E27FC236}">
              <a16:creationId xmlns:a16="http://schemas.microsoft.com/office/drawing/2014/main" id="{81CD8C84-59B0-42BA-84FD-161333AB7096}"/>
            </a:ext>
          </a:extLst>
        </xdr:cNvPr>
        <xdr:cNvSpPr/>
      </xdr:nvSpPr>
      <xdr:spPr>
        <a:xfrm rot="5400000">
          <a:off x="9495466" y="5942024"/>
          <a:ext cx="115991" cy="22327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1046006</xdr:colOff>
      <xdr:row>26</xdr:row>
      <xdr:rowOff>162717</xdr:rowOff>
    </xdr:from>
    <xdr:to>
      <xdr:col>5</xdr:col>
      <xdr:colOff>640080</xdr:colOff>
      <xdr:row>27</xdr:row>
      <xdr:rowOff>226414</xdr:rowOff>
    </xdr:to>
    <xdr:sp macro="" textlink="">
      <xdr:nvSpPr>
        <xdr:cNvPr id="207" name="txt_FormulaCalloutUpper" descr="Operator&#10;">
          <a:extLst>
            <a:ext uri="{FF2B5EF4-FFF2-40B4-BE49-F238E27FC236}">
              <a16:creationId xmlns:a16="http://schemas.microsoft.com/office/drawing/2014/main" id="{1B4C2F37-2973-4A52-8665-E35B15BB3D6B}"/>
            </a:ext>
          </a:extLst>
        </xdr:cNvPr>
        <xdr:cNvSpPr txBox="1">
          <a:spLocks noChangeArrowheads="1"/>
        </xdr:cNvSpPr>
      </xdr:nvSpPr>
      <xdr:spPr bwMode="auto">
        <a:xfrm>
          <a:off x="8833646" y="5809137"/>
          <a:ext cx="828514" cy="24657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Operateur</a:t>
          </a:r>
        </a:p>
      </xdr:txBody>
    </xdr:sp>
    <xdr:clientData/>
  </xdr:twoCellAnchor>
  <xdr:twoCellAnchor editAs="absolute">
    <xdr:from>
      <xdr:col>4</xdr:col>
      <xdr:colOff>756919</xdr:colOff>
      <xdr:row>30</xdr:row>
      <xdr:rowOff>6379</xdr:rowOff>
    </xdr:from>
    <xdr:to>
      <xdr:col>5</xdr:col>
      <xdr:colOff>11899</xdr:colOff>
      <xdr:row>30</xdr:row>
      <xdr:rowOff>122370</xdr:rowOff>
    </xdr:to>
    <xdr:sp macro="" textlink="">
      <xdr:nvSpPr>
        <xdr:cNvPr id="208" name="FormulaBraceUpper">
          <a:extLst>
            <a:ext uri="{FF2B5EF4-FFF2-40B4-BE49-F238E27FC236}">
              <a16:creationId xmlns:a16="http://schemas.microsoft.com/office/drawing/2014/main" id="{1272A68F-37F0-4A7B-B89A-A0390EAF5C54}"/>
            </a:ext>
          </a:extLst>
        </xdr:cNvPr>
        <xdr:cNvSpPr/>
      </xdr:nvSpPr>
      <xdr:spPr>
        <a:xfrm rot="16200000">
          <a:off x="9084651" y="6232847"/>
          <a:ext cx="115991" cy="54085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4</xdr:col>
      <xdr:colOff>644604</xdr:colOff>
      <xdr:row>30</xdr:row>
      <xdr:rowOff>138490</xdr:rowOff>
    </xdr:from>
    <xdr:to>
      <xdr:col>5</xdr:col>
      <xdr:colOff>116474</xdr:colOff>
      <xdr:row>32</xdr:row>
      <xdr:rowOff>160997</xdr:rowOff>
    </xdr:to>
    <xdr:sp macro="" textlink="">
      <xdr:nvSpPr>
        <xdr:cNvPr id="209" name="txt_FormulaCalloutUpper" descr="Constant&#10;">
          <a:extLst>
            <a:ext uri="{FF2B5EF4-FFF2-40B4-BE49-F238E27FC236}">
              <a16:creationId xmlns:a16="http://schemas.microsoft.com/office/drawing/2014/main" id="{C3D3BDE9-0CDA-4720-99C6-226649AE3EAE}"/>
            </a:ext>
          </a:extLst>
        </xdr:cNvPr>
        <xdr:cNvSpPr txBox="1">
          <a:spLocks noChangeArrowheads="1"/>
        </xdr:cNvSpPr>
      </xdr:nvSpPr>
      <xdr:spPr bwMode="auto">
        <a:xfrm>
          <a:off x="8759904" y="6577390"/>
          <a:ext cx="757745"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5</xdr:col>
      <xdr:colOff>273544</xdr:colOff>
      <xdr:row>30</xdr:row>
      <xdr:rowOff>6378</xdr:rowOff>
    </xdr:from>
    <xdr:to>
      <xdr:col>5</xdr:col>
      <xdr:colOff>815420</xdr:colOff>
      <xdr:row>30</xdr:row>
      <xdr:rowOff>122369</xdr:rowOff>
    </xdr:to>
    <xdr:sp macro="" textlink="">
      <xdr:nvSpPr>
        <xdr:cNvPr id="210" name="FormulaBraceUpper">
          <a:extLst>
            <a:ext uri="{FF2B5EF4-FFF2-40B4-BE49-F238E27FC236}">
              <a16:creationId xmlns:a16="http://schemas.microsoft.com/office/drawing/2014/main" id="{A2388037-0C8B-4449-A76D-B27DF4538FD1}"/>
            </a:ext>
          </a:extLst>
        </xdr:cNvPr>
        <xdr:cNvSpPr/>
      </xdr:nvSpPr>
      <xdr:spPr>
        <a:xfrm rot="16200000">
          <a:off x="9887661" y="6232336"/>
          <a:ext cx="115991" cy="5418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clientData/>
  </xdr:twoCellAnchor>
  <xdr:twoCellAnchor editAs="absolute">
    <xdr:from>
      <xdr:col>5</xdr:col>
      <xdr:colOff>161280</xdr:colOff>
      <xdr:row>30</xdr:row>
      <xdr:rowOff>138490</xdr:rowOff>
    </xdr:from>
    <xdr:to>
      <xdr:col>5</xdr:col>
      <xdr:colOff>919952</xdr:colOff>
      <xdr:row>32</xdr:row>
      <xdr:rowOff>160997</xdr:rowOff>
    </xdr:to>
    <xdr:sp macro="" textlink="">
      <xdr:nvSpPr>
        <xdr:cNvPr id="211" name="txt_FormulaCalloutUpper" descr="Constant&#10;">
          <a:extLst>
            <a:ext uri="{FF2B5EF4-FFF2-40B4-BE49-F238E27FC236}">
              <a16:creationId xmlns:a16="http://schemas.microsoft.com/office/drawing/2014/main" id="{9CAE6A7E-8E69-4ADE-A18A-4213125DEC6D}"/>
            </a:ext>
          </a:extLst>
        </xdr:cNvPr>
        <xdr:cNvSpPr txBox="1">
          <a:spLocks noChangeArrowheads="1"/>
        </xdr:cNvSpPr>
      </xdr:nvSpPr>
      <xdr:spPr bwMode="auto">
        <a:xfrm>
          <a:off x="9562455" y="6577390"/>
          <a:ext cx="758672" cy="3844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Constant</a:t>
          </a:r>
        </a:p>
      </xdr:txBody>
    </xdr:sp>
    <xdr:clientData/>
  </xdr:twoCellAnchor>
  <xdr:twoCellAnchor editAs="absolute">
    <xdr:from>
      <xdr:col>1</xdr:col>
      <xdr:colOff>5323810</xdr:colOff>
      <xdr:row>35</xdr:row>
      <xdr:rowOff>46824</xdr:rowOff>
    </xdr:from>
    <xdr:to>
      <xdr:col>5</xdr:col>
      <xdr:colOff>1066836</xdr:colOff>
      <xdr:row>43</xdr:row>
      <xdr:rowOff>162462</xdr:rowOff>
    </xdr:to>
    <xdr:grpSp>
      <xdr:nvGrpSpPr>
        <xdr:cNvPr id="172" name="Group 171">
          <a:extLst>
            <a:ext uri="{FF2B5EF4-FFF2-40B4-BE49-F238E27FC236}">
              <a16:creationId xmlns:a16="http://schemas.microsoft.com/office/drawing/2014/main" id="{27FB8F52-9F55-421A-90F9-FEBBC5A87DF7}"/>
            </a:ext>
          </a:extLst>
        </xdr:cNvPr>
        <xdr:cNvGrpSpPr/>
      </xdr:nvGrpSpPr>
      <xdr:grpSpPr>
        <a:xfrm>
          <a:off x="6192490" y="7483944"/>
          <a:ext cx="3896426" cy="1578678"/>
          <a:chOff x="8257510" y="8148527"/>
          <a:chExt cx="3790306" cy="1643173"/>
        </a:xfrm>
      </xdr:grpSpPr>
      <xdr:sp macro="" textlink="">
        <xdr:nvSpPr>
          <xdr:cNvPr id="191" name="txt_Formula" descr="=SUM(A1:A10)&#10;">
            <a:extLst>
              <a:ext uri="{FF2B5EF4-FFF2-40B4-BE49-F238E27FC236}">
                <a16:creationId xmlns:a16="http://schemas.microsoft.com/office/drawing/2014/main" id="{420560C2-240E-4A77-8A25-1E46F3BE03DF}"/>
              </a:ext>
            </a:extLst>
          </xdr:cNvPr>
          <xdr:cNvSpPr txBox="1"/>
        </xdr:nvSpPr>
        <xdr:spPr>
          <a:xfrm>
            <a:off x="8257510" y="8447209"/>
            <a:ext cx="3790306" cy="502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=SOMME(A1:A10)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92" name="FormulaBraceUpper">
            <a:extLst>
              <a:ext uri="{FF2B5EF4-FFF2-40B4-BE49-F238E27FC236}">
                <a16:creationId xmlns:a16="http://schemas.microsoft.com/office/drawing/2014/main" id="{5E996462-DB7E-43E7-A8CC-1B53668A75E9}"/>
              </a:ext>
            </a:extLst>
          </xdr:cNvPr>
          <xdr:cNvSpPr/>
        </xdr:nvSpPr>
        <xdr:spPr>
          <a:xfrm rot="5400000">
            <a:off x="9137962" y="7805460"/>
            <a:ext cx="92463" cy="136864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3" name="txt_FormulaCalloutUpper" descr="Function&#10;">
            <a:extLst>
              <a:ext uri="{FF2B5EF4-FFF2-40B4-BE49-F238E27FC236}">
                <a16:creationId xmlns:a16="http://schemas.microsoft.com/office/drawing/2014/main" id="{6AD191CA-0328-4A6B-AFF1-5AAC7BCD948A}"/>
              </a:ext>
            </a:extLst>
          </xdr:cNvPr>
          <xdr:cNvSpPr txBox="1">
            <a:spLocks noChangeArrowheads="1"/>
          </xdr:cNvSpPr>
        </xdr:nvSpPr>
        <xdr:spPr bwMode="auto">
          <a:xfrm>
            <a:off x="8850718" y="8164390"/>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Fonction</a:t>
            </a:r>
          </a:p>
        </xdr:txBody>
      </xdr:sp>
      <xdr:sp macro="" textlink="">
        <xdr:nvSpPr>
          <xdr:cNvPr id="194" name="FormulaBraceUpper">
            <a:extLst>
              <a:ext uri="{FF2B5EF4-FFF2-40B4-BE49-F238E27FC236}">
                <a16:creationId xmlns:a16="http://schemas.microsoft.com/office/drawing/2014/main" id="{73DF5926-C31E-49B6-8468-20634B5B1EC6}"/>
              </a:ext>
            </a:extLst>
          </xdr:cNvPr>
          <xdr:cNvSpPr/>
        </xdr:nvSpPr>
        <xdr:spPr>
          <a:xfrm rot="16200000">
            <a:off x="10164675" y="828150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5" name="FormulaBraceUpper">
            <a:extLst>
              <a:ext uri="{FF2B5EF4-FFF2-40B4-BE49-F238E27FC236}">
                <a16:creationId xmlns:a16="http://schemas.microsoft.com/office/drawing/2014/main" id="{92FCDA5F-895F-4078-BCF6-B3112EDCA2A2}"/>
              </a:ext>
            </a:extLst>
          </xdr:cNvPr>
          <xdr:cNvSpPr/>
        </xdr:nvSpPr>
        <xdr:spPr>
          <a:xfrm rot="5400000">
            <a:off x="10854035" y="7751294"/>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96" name="txt_FormulaCalloutUpper" descr="Argument&#10;">
            <a:extLst>
              <a:ext uri="{FF2B5EF4-FFF2-40B4-BE49-F238E27FC236}">
                <a16:creationId xmlns:a16="http://schemas.microsoft.com/office/drawing/2014/main" id="{6DD0728E-6D1B-40C6-A4C4-490130F25B82}"/>
              </a:ext>
            </a:extLst>
          </xdr:cNvPr>
          <xdr:cNvSpPr txBox="1">
            <a:spLocks noChangeArrowheads="1"/>
          </xdr:cNvSpPr>
        </xdr:nvSpPr>
        <xdr:spPr bwMode="auto">
          <a:xfrm>
            <a:off x="10412186" y="8148527"/>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97" name="Text Box 2" descr="A range of cells has a starting cell, colon, and an ending cell. When you select a range of cells for a formula, Excel will automatically add the colon.&#10;">
            <a:extLst>
              <a:ext uri="{FF2B5EF4-FFF2-40B4-BE49-F238E27FC236}">
                <a16:creationId xmlns:a16="http://schemas.microsoft.com/office/drawing/2014/main" id="{49197EDE-B2FF-44D2-AFA6-B9EEE1B518CF}"/>
              </a:ext>
            </a:extLst>
          </xdr:cNvPr>
          <xdr:cNvSpPr txBox="1">
            <a:spLocks noChangeArrowheads="1"/>
          </xdr:cNvSpPr>
        </xdr:nvSpPr>
        <xdr:spPr bwMode="auto">
          <a:xfrm>
            <a:off x="8584381" y="9112879"/>
            <a:ext cx="3000375" cy="678821"/>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A range of cells has a starting cell, colon, and </a:t>
            </a:r>
            <a:r>
              <a:rPr lang="en-US" sz="1100" baseline="0">
                <a:effectLst/>
                <a:latin typeface="+mn-lt"/>
                <a:ea typeface="Calibri" panose="020F0502020204030204" pitchFamily="34" charset="0"/>
                <a:cs typeface="Times New Roman" panose="02020603050405020304" pitchFamily="18" charset="0"/>
              </a:rPr>
              <a:t>an ending cell. When you select a range of cells for a formula, Excel will automatically add the colon.</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grpSp>
    <xdr:clientData/>
  </xdr:twoCellAnchor>
  <xdr:twoCellAnchor editAs="absolute">
    <xdr:from>
      <xdr:col>1</xdr:col>
      <xdr:colOff>5567651</xdr:colOff>
      <xdr:row>45</xdr:row>
      <xdr:rowOff>33194</xdr:rowOff>
    </xdr:from>
    <xdr:to>
      <xdr:col>11</xdr:col>
      <xdr:colOff>121852</xdr:colOff>
      <xdr:row>56</xdr:row>
      <xdr:rowOff>110492</xdr:rowOff>
    </xdr:to>
    <xdr:grpSp>
      <xdr:nvGrpSpPr>
        <xdr:cNvPr id="173" name="Group 172">
          <a:extLst>
            <a:ext uri="{FF2B5EF4-FFF2-40B4-BE49-F238E27FC236}">
              <a16:creationId xmlns:a16="http://schemas.microsoft.com/office/drawing/2014/main" id="{00BBB77A-8EDC-44E9-8BC6-1F471670BF40}"/>
            </a:ext>
          </a:extLst>
        </xdr:cNvPr>
        <xdr:cNvGrpSpPr/>
      </xdr:nvGrpSpPr>
      <xdr:grpSpPr>
        <a:xfrm>
          <a:off x="6436331" y="9299114"/>
          <a:ext cx="7195781" cy="2088978"/>
          <a:chOff x="8257511" y="10012240"/>
          <a:chExt cx="6923344" cy="2173371"/>
        </a:xfrm>
      </xdr:grpSpPr>
      <xdr:sp macro="" textlink="">
        <xdr:nvSpPr>
          <xdr:cNvPr id="174" name="txt_Formula" descr="=SUM(A1:A10,C1:C10)&#10;">
            <a:extLst>
              <a:ext uri="{FF2B5EF4-FFF2-40B4-BE49-F238E27FC236}">
                <a16:creationId xmlns:a16="http://schemas.microsoft.com/office/drawing/2014/main" id="{4939E1EA-5EC9-4CD9-BA9B-F78E39B2FE8C}"/>
              </a:ext>
            </a:extLst>
          </xdr:cNvPr>
          <xdr:cNvSpPr txBox="1"/>
        </xdr:nvSpPr>
        <xdr:spPr>
          <a:xfrm>
            <a:off x="8257511" y="10628434"/>
            <a:ext cx="5625734" cy="502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3600">
                <a:solidFill>
                  <a:srgbClr val="000000"/>
                </a:solidFill>
                <a:effectLst/>
                <a:latin typeface="Courier New" panose="02070309020205020404" pitchFamily="49" charset="0"/>
                <a:ea typeface="Times New Roman" panose="02020603050405020304" pitchFamily="18" charset="0"/>
              </a:rPr>
              <a:t>=SOMME(A1:A10;C1:C10)</a:t>
            </a:r>
            <a:endParaRPr lang="en-US" sz="3600">
              <a:effectLst/>
              <a:latin typeface="Times New Roman" panose="02020603050405020304" pitchFamily="18" charset="0"/>
              <a:ea typeface="Times New Roman" panose="02020603050405020304" pitchFamily="18" charset="0"/>
            </a:endParaRPr>
          </a:p>
        </xdr:txBody>
      </xdr:sp>
      <xdr:sp macro="" textlink="">
        <xdr:nvSpPr>
          <xdr:cNvPr id="175" name="FormulaBraceUpper">
            <a:extLst>
              <a:ext uri="{FF2B5EF4-FFF2-40B4-BE49-F238E27FC236}">
                <a16:creationId xmlns:a16="http://schemas.microsoft.com/office/drawing/2014/main" id="{2C0CD1F5-7F26-459E-A30A-75B89D0DDE18}"/>
              </a:ext>
            </a:extLst>
          </xdr:cNvPr>
          <xdr:cNvSpPr/>
        </xdr:nvSpPr>
        <xdr:spPr>
          <a:xfrm rot="5400000">
            <a:off x="8903299" y="10293823"/>
            <a:ext cx="121918" cy="78382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6" name="txt_FormulaCalloutUpper" descr="Function&#10;">
            <a:extLst>
              <a:ext uri="{FF2B5EF4-FFF2-40B4-BE49-F238E27FC236}">
                <a16:creationId xmlns:a16="http://schemas.microsoft.com/office/drawing/2014/main" id="{19E9801B-D128-4AB7-8DE6-607106C308D9}"/>
              </a:ext>
            </a:extLst>
          </xdr:cNvPr>
          <xdr:cNvSpPr txBox="1">
            <a:spLocks noChangeArrowheads="1"/>
          </xdr:cNvSpPr>
        </xdr:nvSpPr>
        <xdr:spPr bwMode="auto">
          <a:xfrm>
            <a:off x="8617121" y="10345615"/>
            <a:ext cx="719605"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Fonction</a:t>
            </a:r>
          </a:p>
        </xdr:txBody>
      </xdr:sp>
      <xdr:sp macro="" textlink="">
        <xdr:nvSpPr>
          <xdr:cNvPr id="177" name="FormulaBraceUpper">
            <a:extLst>
              <a:ext uri="{FF2B5EF4-FFF2-40B4-BE49-F238E27FC236}">
                <a16:creationId xmlns:a16="http://schemas.microsoft.com/office/drawing/2014/main" id="{E87F0EBE-F231-4EF8-9B82-25664E51185C}"/>
              </a:ext>
            </a:extLst>
          </xdr:cNvPr>
          <xdr:cNvSpPr/>
        </xdr:nvSpPr>
        <xdr:spPr>
          <a:xfrm rot="5400000">
            <a:off x="10839165" y="9948381"/>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78" name="txt_FormulaCalloutUpper" descr="Argument&#10;">
            <a:extLst>
              <a:ext uri="{FF2B5EF4-FFF2-40B4-BE49-F238E27FC236}">
                <a16:creationId xmlns:a16="http://schemas.microsoft.com/office/drawing/2014/main" id="{C70B59B4-A903-4D48-B1D5-54CDD75E516A}"/>
              </a:ext>
            </a:extLst>
          </xdr:cNvPr>
          <xdr:cNvSpPr txBox="1">
            <a:spLocks noChangeArrowheads="1"/>
          </xdr:cNvSpPr>
        </xdr:nvSpPr>
        <xdr:spPr bwMode="auto">
          <a:xfrm>
            <a:off x="10375322" y="10345615"/>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79" name="FormulaBraceUpper">
            <a:extLst>
              <a:ext uri="{FF2B5EF4-FFF2-40B4-BE49-F238E27FC236}">
                <a16:creationId xmlns:a16="http://schemas.microsoft.com/office/drawing/2014/main" id="{82278071-0D09-4DA0-8A4B-E79650C6B154}"/>
              </a:ext>
            </a:extLst>
          </xdr:cNvPr>
          <xdr:cNvSpPr/>
        </xdr:nvSpPr>
        <xdr:spPr>
          <a:xfrm rot="5400000">
            <a:off x="12650065" y="9903889"/>
            <a:ext cx="164269" cy="15689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0" name="txt_FormulaCalloutUpper" descr="Argument&#10;">
            <a:extLst>
              <a:ext uri="{FF2B5EF4-FFF2-40B4-BE49-F238E27FC236}">
                <a16:creationId xmlns:a16="http://schemas.microsoft.com/office/drawing/2014/main" id="{681E05A6-833F-4DB8-8D40-D39B82D06561}"/>
              </a:ext>
            </a:extLst>
          </xdr:cNvPr>
          <xdr:cNvSpPr txBox="1">
            <a:spLocks noChangeArrowheads="1"/>
          </xdr:cNvSpPr>
        </xdr:nvSpPr>
        <xdr:spPr bwMode="auto">
          <a:xfrm>
            <a:off x="11935081" y="10313904"/>
            <a:ext cx="1005616" cy="2571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a:t>
            </a:r>
          </a:p>
        </xdr:txBody>
      </xdr:sp>
      <xdr:sp macro="" textlink="">
        <xdr:nvSpPr>
          <xdr:cNvPr id="181" name="FormulaBraceUpper">
            <a:extLst>
              <a:ext uri="{FF2B5EF4-FFF2-40B4-BE49-F238E27FC236}">
                <a16:creationId xmlns:a16="http://schemas.microsoft.com/office/drawing/2014/main" id="{CBAEE9F7-8844-4CF2-908C-4D4F53F93F05}"/>
              </a:ext>
            </a:extLst>
          </xdr:cNvPr>
          <xdr:cNvSpPr/>
        </xdr:nvSpPr>
        <xdr:spPr>
          <a:xfrm rot="16200000">
            <a:off x="10890485" y="10472256"/>
            <a:ext cx="121918" cy="144979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2" name="Text Box 2" descr="A range of cells">
            <a:extLst>
              <a:ext uri="{FF2B5EF4-FFF2-40B4-BE49-F238E27FC236}">
                <a16:creationId xmlns:a16="http://schemas.microsoft.com/office/drawing/2014/main" id="{F2C22149-D656-439A-9A85-5A52AF811D24}"/>
              </a:ext>
            </a:extLst>
          </xdr:cNvPr>
          <xdr:cNvSpPr txBox="1">
            <a:spLocks noChangeArrowheads="1"/>
          </xdr:cNvSpPr>
        </xdr:nvSpPr>
        <xdr:spPr bwMode="auto">
          <a:xfrm>
            <a:off x="10151510" y="11303631"/>
            <a:ext cx="1408647"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Une rangée de cellules</a:t>
            </a: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3" name="FormulaBraceUpper">
            <a:extLst>
              <a:ext uri="{FF2B5EF4-FFF2-40B4-BE49-F238E27FC236}">
                <a16:creationId xmlns:a16="http://schemas.microsoft.com/office/drawing/2014/main" id="{BDF364CA-3E92-4EF9-B69D-8D2A8D6D02DC}"/>
              </a:ext>
            </a:extLst>
          </xdr:cNvPr>
          <xdr:cNvSpPr/>
        </xdr:nvSpPr>
        <xdr:spPr>
          <a:xfrm rot="16200000">
            <a:off x="12605439" y="10472256"/>
            <a:ext cx="134110" cy="144979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84" name="Text Box 2" descr="Another range of cells">
            <a:extLst>
              <a:ext uri="{FF2B5EF4-FFF2-40B4-BE49-F238E27FC236}">
                <a16:creationId xmlns:a16="http://schemas.microsoft.com/office/drawing/2014/main" id="{C0CFC16F-09CC-4EBF-8B9B-7929710E5AE9}"/>
              </a:ext>
            </a:extLst>
          </xdr:cNvPr>
          <xdr:cNvSpPr txBox="1">
            <a:spLocks noChangeArrowheads="1"/>
          </xdr:cNvSpPr>
        </xdr:nvSpPr>
        <xdr:spPr bwMode="auto">
          <a:xfrm>
            <a:off x="11939675" y="11303631"/>
            <a:ext cx="1811603" cy="278770"/>
          </a:xfrm>
          <a:prstGeom prst="rect">
            <a:avLst/>
          </a:prstGeom>
          <a:solidFill>
            <a:schemeClr val="accent6">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Une</a:t>
            </a:r>
            <a:r>
              <a:rPr lang="en-US" sz="1100" baseline="0">
                <a:effectLst/>
                <a:latin typeface="+mn-lt"/>
                <a:ea typeface="Calibri" panose="020F0502020204030204" pitchFamily="34" charset="0"/>
                <a:cs typeface="Times New Roman" panose="02020603050405020304" pitchFamily="18" charset="0"/>
              </a:rPr>
              <a:t> autre rangée de cellules</a:t>
            </a:r>
            <a:endParaRPr lang="en-US" sz="1100">
              <a:effectLst/>
              <a:latin typeface="+mn-lt"/>
              <a:ea typeface="Calibri" panose="020F0502020204030204" pitchFamily="34" charset="0"/>
              <a:cs typeface="Times New Roman" panose="02020603050405020304" pitchFamily="18" charset="0"/>
            </a:endParaRPr>
          </a:p>
          <a:p>
            <a:pPr marL="0" marR="0">
              <a:lnSpc>
                <a:spcPct val="107000"/>
              </a:lnSpc>
              <a:spcBef>
                <a:spcPts val="0"/>
              </a:spcBef>
              <a:spcAft>
                <a:spcPts val="800"/>
              </a:spcAft>
            </a:pPr>
            <a:r>
              <a:rPr lang="en-US" sz="1100">
                <a:effectLst/>
                <a:latin typeface="+mn-lt"/>
                <a:ea typeface="Calibri" panose="020F0502020204030204" pitchFamily="34" charset="0"/>
                <a:cs typeface="Times New Roman" panose="02020603050405020304" pitchFamily="18" charset="0"/>
              </a:rPr>
              <a:t> </a:t>
            </a:r>
          </a:p>
        </xdr:txBody>
      </xdr:sp>
      <xdr:sp macro="" textlink="">
        <xdr:nvSpPr>
          <xdr:cNvPr id="185" name="txt_FormulaCalloutUpper" descr="Sum up the following:&#10;">
            <a:extLst>
              <a:ext uri="{FF2B5EF4-FFF2-40B4-BE49-F238E27FC236}">
                <a16:creationId xmlns:a16="http://schemas.microsoft.com/office/drawing/2014/main" id="{130455C0-2F1E-4116-928D-8EF2832DD8B1}"/>
              </a:ext>
            </a:extLst>
          </xdr:cNvPr>
          <xdr:cNvSpPr txBox="1">
            <a:spLocks noChangeArrowheads="1"/>
          </xdr:cNvSpPr>
        </xdr:nvSpPr>
        <xdr:spPr bwMode="auto">
          <a:xfrm>
            <a:off x="10633507" y="10012240"/>
            <a:ext cx="2168802"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Le point-virgule sépare des arguments multiples</a:t>
            </a:r>
          </a:p>
        </xdr:txBody>
      </xdr:sp>
      <xdr:sp macro="" textlink="">
        <xdr:nvSpPr>
          <xdr:cNvPr id="186" name="Extra Credit Arrow" descr="Arrow">
            <a:extLst>
              <a:ext uri="{FF2B5EF4-FFF2-40B4-BE49-F238E27FC236}">
                <a16:creationId xmlns:a16="http://schemas.microsoft.com/office/drawing/2014/main" id="{F20E0373-D1E2-4164-9D1E-AA0D75CDAB33}"/>
              </a:ext>
            </a:extLst>
          </xdr:cNvPr>
          <xdr:cNvSpPr/>
        </xdr:nvSpPr>
        <xdr:spPr>
          <a:xfrm rot="16200000" flipV="1">
            <a:off x="11173373" y="10523105"/>
            <a:ext cx="1009649" cy="289790"/>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7" name="txt_FormulaCalloutUpper" descr="Opening parenthesis&#10;&#10;">
            <a:extLst>
              <a:ext uri="{FF2B5EF4-FFF2-40B4-BE49-F238E27FC236}">
                <a16:creationId xmlns:a16="http://schemas.microsoft.com/office/drawing/2014/main" id="{3BD902AA-A598-43E6-A0A7-09904DC6E032}"/>
              </a:ext>
            </a:extLst>
          </xdr:cNvPr>
          <xdr:cNvSpPr txBox="1">
            <a:spLocks noChangeArrowheads="1"/>
          </xdr:cNvSpPr>
        </xdr:nvSpPr>
        <xdr:spPr bwMode="auto">
          <a:xfrm>
            <a:off x="8868184" y="11825010"/>
            <a:ext cx="2729639" cy="25717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b="1">
                <a:effectLst/>
                <a:latin typeface="Calibri" panose="020F0502020204030204" pitchFamily="34" charset="0"/>
                <a:ea typeface="Calibri" panose="020F0502020204030204" pitchFamily="34" charset="0"/>
                <a:cs typeface="Times New Roman" panose="02020603050405020304" pitchFamily="18" charset="0"/>
              </a:rPr>
              <a:t>Ouvrez</a:t>
            </a:r>
            <a:r>
              <a:rPr lang="en-US" sz="1100">
                <a:effectLst/>
                <a:latin typeface="Calibri" panose="020F0502020204030204" pitchFamily="34" charset="0"/>
                <a:ea typeface="Calibri" panose="020F0502020204030204" pitchFamily="34" charset="0"/>
                <a:cs typeface="Times New Roman" panose="02020603050405020304" pitchFamily="18" charset="0"/>
              </a:rPr>
              <a:t> les parenthèses</a:t>
            </a:r>
          </a:p>
        </xdr:txBody>
      </xdr:sp>
      <xdr:sp macro="" textlink="">
        <xdr:nvSpPr>
          <xdr:cNvPr id="188" name="Extra Credit Arrow" descr="Arrow">
            <a:extLst>
              <a:ext uri="{FF2B5EF4-FFF2-40B4-BE49-F238E27FC236}">
                <a16:creationId xmlns:a16="http://schemas.microsoft.com/office/drawing/2014/main" id="{50512362-8176-4282-96DD-0E5296EA5938}"/>
              </a:ext>
            </a:extLst>
          </xdr:cNvPr>
          <xdr:cNvSpPr/>
        </xdr:nvSpPr>
        <xdr:spPr>
          <a:xfrm rot="16200000" flipH="1">
            <a:off x="9704765" y="11154381"/>
            <a:ext cx="1009649" cy="462029"/>
          </a:xfrm>
          <a:prstGeom prst="arc">
            <a:avLst>
              <a:gd name="adj1" fmla="val 15011426"/>
              <a:gd name="adj2" fmla="val 20561228"/>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189" name="txt_FormulaCalloutUpper" descr="Closing parenthesis. Excel will usually add this for you when you press Enter.&#10;&#10;">
            <a:extLst>
              <a:ext uri="{FF2B5EF4-FFF2-40B4-BE49-F238E27FC236}">
                <a16:creationId xmlns:a16="http://schemas.microsoft.com/office/drawing/2014/main" id="{559086FB-E2A5-4229-BC6F-5221672A30BE}"/>
              </a:ext>
            </a:extLst>
          </xdr:cNvPr>
          <xdr:cNvSpPr txBox="1">
            <a:spLocks noChangeArrowheads="1"/>
          </xdr:cNvSpPr>
        </xdr:nvSpPr>
        <xdr:spPr bwMode="auto">
          <a:xfrm>
            <a:off x="12451216" y="11729876"/>
            <a:ext cx="2729639" cy="455735"/>
          </a:xfrm>
          <a:prstGeom prst="rect">
            <a:avLst/>
          </a:prstGeom>
          <a:no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b="1">
                <a:effectLst/>
                <a:latin typeface="Calibri" panose="020F0502020204030204" pitchFamily="34" charset="0"/>
                <a:ea typeface="Calibri" panose="020F0502020204030204" pitchFamily="34" charset="0"/>
                <a:cs typeface="Times New Roman" panose="02020603050405020304" pitchFamily="18" charset="0"/>
              </a:rPr>
              <a:t>Fermez</a:t>
            </a:r>
            <a:r>
              <a:rPr lang="en-US" sz="1100">
                <a:effectLst/>
                <a:latin typeface="Calibri" panose="020F0502020204030204" pitchFamily="34" charset="0"/>
                <a:ea typeface="Calibri" panose="020F0502020204030204" pitchFamily="34" charset="0"/>
                <a:cs typeface="Times New Roman" panose="02020603050405020304" pitchFamily="18" charset="0"/>
              </a:rPr>
              <a:t> les parenthèses. Excel les ferme habituellemnt pour vous lorque vous pressez </a:t>
            </a:r>
            <a:r>
              <a:rPr lang="en-US" sz="1100" b="1">
                <a:effectLst/>
                <a:latin typeface="Calibri" panose="020F0502020204030204" pitchFamily="34" charset="0"/>
                <a:ea typeface="Calibri" panose="020F0502020204030204" pitchFamily="34" charset="0"/>
                <a:cs typeface="Times New Roman" panose="02020603050405020304" pitchFamily="18" charset="0"/>
              </a:rPr>
              <a:t>Entrée</a:t>
            </a:r>
            <a:r>
              <a:rPr lang="en-US" sz="1100" baseline="0">
                <a:effectLst/>
                <a:latin typeface="Calibri" panose="020F0502020204030204" pitchFamily="34" charset="0"/>
                <a:ea typeface="Calibri" panose="020F0502020204030204" pitchFamily="34" charset="0"/>
                <a:cs typeface="Times New Roman" panose="02020603050405020304" pitchFamily="18" charset="0"/>
              </a:rPr>
              <a:t>.</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90" name="Extra Credit Arrow" descr="Arrow">
            <a:extLst>
              <a:ext uri="{FF2B5EF4-FFF2-40B4-BE49-F238E27FC236}">
                <a16:creationId xmlns:a16="http://schemas.microsoft.com/office/drawing/2014/main" id="{C318E433-BAE2-4CBB-8FB1-AE0D7270E614}"/>
              </a:ext>
            </a:extLst>
          </xdr:cNvPr>
          <xdr:cNvSpPr/>
        </xdr:nvSpPr>
        <xdr:spPr>
          <a:xfrm rot="3731154">
            <a:off x="12828026" y="11081829"/>
            <a:ext cx="1340711" cy="462029"/>
          </a:xfrm>
          <a:prstGeom prst="arc">
            <a:avLst>
              <a:gd name="adj1" fmla="val 15011426"/>
              <a:gd name="adj2" fmla="val 20616247"/>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editAs="absolute">
    <xdr:from>
      <xdr:col>2</xdr:col>
      <xdr:colOff>511827</xdr:colOff>
      <xdr:row>30</xdr:row>
      <xdr:rowOff>156557</xdr:rowOff>
    </xdr:from>
    <xdr:to>
      <xdr:col>4</xdr:col>
      <xdr:colOff>51009</xdr:colOff>
      <xdr:row>34</xdr:row>
      <xdr:rowOff>63787</xdr:rowOff>
    </xdr:to>
    <xdr:sp macro="" textlink="">
      <xdr:nvSpPr>
        <xdr:cNvPr id="2" name="txt_FormulaCalloutUpper" descr="Cell reference&#10;&#10;">
          <a:extLst>
            <a:ext uri="{FF2B5EF4-FFF2-40B4-BE49-F238E27FC236}">
              <a16:creationId xmlns:a16="http://schemas.microsoft.com/office/drawing/2014/main" id="{D7F30898-100A-4D68-A918-BD481091B4AA}"/>
            </a:ext>
          </a:extLst>
        </xdr:cNvPr>
        <xdr:cNvSpPr txBox="1">
          <a:spLocks noChangeArrowheads="1"/>
        </xdr:cNvSpPr>
      </xdr:nvSpPr>
      <xdr:spPr bwMode="auto">
        <a:xfrm>
          <a:off x="7065027" y="6679277"/>
          <a:ext cx="773622" cy="63875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ctr"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Référence</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de la cellule</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342900</xdr:colOff>
      <xdr:row>63</xdr:row>
      <xdr:rowOff>142875</xdr:rowOff>
    </xdr:from>
    <xdr:to>
      <xdr:col>1</xdr:col>
      <xdr:colOff>5228463</xdr:colOff>
      <xdr:row>82</xdr:row>
      <xdr:rowOff>19050</xdr:rowOff>
    </xdr:to>
    <xdr:grpSp>
      <xdr:nvGrpSpPr>
        <xdr:cNvPr id="180" name="More On Web" descr="More information on the web, contains links to the web&#10;Back to top&#10;Next step">
          <a:hlinkClick xmlns:r="http://schemas.openxmlformats.org/officeDocument/2006/relationships" r:id="rId1" tooltip="Click here to advance to the next worksheet"/>
          <a:extLst>
            <a:ext uri="{FF2B5EF4-FFF2-40B4-BE49-F238E27FC236}">
              <a16:creationId xmlns:a16="http://schemas.microsoft.com/office/drawing/2014/main" id="{ABD21ECB-A0A3-4E0D-861E-B3FBCE376575}"/>
            </a:ext>
          </a:extLst>
        </xdr:cNvPr>
        <xdr:cNvGrpSpPr/>
      </xdr:nvGrpSpPr>
      <xdr:grpSpPr>
        <a:xfrm>
          <a:off x="342900" y="12715875"/>
          <a:ext cx="5754243" cy="3495675"/>
          <a:chOff x="323850" y="16837043"/>
          <a:chExt cx="5737224" cy="3349188"/>
        </a:xfrm>
      </xdr:grpSpPr>
      <xdr:sp macro="" textlink="">
        <xdr:nvSpPr>
          <xdr:cNvPr id="181" name="Rectangle 180">
            <a:extLst>
              <a:ext uri="{FF2B5EF4-FFF2-40B4-BE49-F238E27FC236}">
                <a16:creationId xmlns:a16="http://schemas.microsoft.com/office/drawing/2014/main" id="{EAA4229D-20C0-4C8C-B547-F8660867DCFA}"/>
              </a:ext>
            </a:extLst>
          </xdr:cNvPr>
          <xdr:cNvSpPr/>
        </xdr:nvSpPr>
        <xdr:spPr>
          <a:xfrm>
            <a:off x="323850" y="16837043"/>
            <a:ext cx="5737224" cy="33491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82" name="Step" descr="More information on the web&#10;">
            <a:extLst>
              <a:ext uri="{FF2B5EF4-FFF2-40B4-BE49-F238E27FC236}">
                <a16:creationId xmlns:a16="http://schemas.microsoft.com/office/drawing/2014/main" id="{9CE68B18-1C76-45F8-8E5A-72898F80A45D}"/>
              </a:ext>
            </a:extLst>
          </xdr:cNvPr>
          <xdr:cNvSpPr txBox="1"/>
        </xdr:nvSpPr>
        <xdr:spPr>
          <a:xfrm>
            <a:off x="546067" y="16955740"/>
            <a:ext cx="5257825" cy="471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83" name="Straight Connector 182" descr="Decorative line">
            <a:extLst>
              <a:ext uri="{FF2B5EF4-FFF2-40B4-BE49-F238E27FC236}">
                <a16:creationId xmlns:a16="http://schemas.microsoft.com/office/drawing/2014/main" id="{4539B486-E07C-48F8-9EDA-2AE83C69E95B}"/>
              </a:ext>
            </a:extLst>
          </xdr:cNvPr>
          <xdr:cNvCxnSpPr>
            <a:cxnSpLocks/>
          </xdr:cNvCxnSpPr>
        </xdr:nvCxnSpPr>
        <xdr:spPr>
          <a:xfrm>
            <a:off x="546067" y="17444103"/>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4" name="Next Button" descr="Back to top, hyperlinked to cell A1">
            <a:hlinkClick xmlns:r="http://schemas.openxmlformats.org/officeDocument/2006/relationships" r:id="rId1" tooltip="Select to go back to cell A1 in this worksheet"/>
            <a:extLst>
              <a:ext uri="{FF2B5EF4-FFF2-40B4-BE49-F238E27FC236}">
                <a16:creationId xmlns:a16="http://schemas.microsoft.com/office/drawing/2014/main" id="{95BB311B-A2C7-4A68-9A8B-82CD5B1C75D5}"/>
              </a:ext>
            </a:extLst>
          </xdr:cNvPr>
          <xdr:cNvSpPr/>
        </xdr:nvSpPr>
        <xdr:spPr>
          <a:xfrm>
            <a:off x="558774" y="19485025"/>
            <a:ext cx="2764342" cy="523755"/>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Revenir</a:t>
            </a:r>
            <a:r>
              <a:rPr lang="en-US" sz="1200" baseline="0">
                <a:solidFill>
                  <a:srgbClr val="0B744D"/>
                </a:solidFill>
                <a:latin typeface="Segoe UI" pitchFamily="34" charset="0"/>
                <a:ea typeface="Segoe UI" pitchFamily="34" charset="0"/>
                <a:cs typeface="Segoe UI" pitchFamily="34" charset="0"/>
              </a:rPr>
              <a:t> en haut</a:t>
            </a:r>
            <a:endParaRPr lang="en-US" sz="1200">
              <a:solidFill>
                <a:srgbClr val="0B744D"/>
              </a:solidFill>
              <a:latin typeface="Segoe UI" pitchFamily="34" charset="0"/>
              <a:ea typeface="Segoe UI" pitchFamily="34" charset="0"/>
              <a:cs typeface="Segoe UI" pitchFamily="34" charset="0"/>
            </a:endParaRPr>
          </a:p>
        </xdr:txBody>
      </xdr:sp>
      <xdr:cxnSp macro="">
        <xdr:nvCxnSpPr>
          <xdr:cNvPr id="185" name="Straight Connector 184" descr="Decorative line">
            <a:extLst>
              <a:ext uri="{FF2B5EF4-FFF2-40B4-BE49-F238E27FC236}">
                <a16:creationId xmlns:a16="http://schemas.microsoft.com/office/drawing/2014/main" id="{31604368-D311-4E9B-8820-4730030A0801}"/>
              </a:ext>
            </a:extLst>
          </xdr:cNvPr>
          <xdr:cNvCxnSpPr>
            <a:cxnSpLocks/>
          </xdr:cNvCxnSpPr>
        </xdr:nvCxnSpPr>
        <xdr:spPr>
          <a:xfrm>
            <a:off x="546067" y="19391758"/>
            <a:ext cx="5254651"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86" name="Next Button" descr="Next step button, hyperlinked to next worksheet">
            <a:hlinkClick xmlns:r="http://schemas.openxmlformats.org/officeDocument/2006/relationships" r:id="rId2" tooltip="Click here to advance to the next worksheet"/>
            <a:extLst>
              <a:ext uri="{FF2B5EF4-FFF2-40B4-BE49-F238E27FC236}">
                <a16:creationId xmlns:a16="http://schemas.microsoft.com/office/drawing/2014/main" id="{4F102BCA-DDCB-4390-A653-445B336B333A}"/>
              </a:ext>
            </a:extLst>
          </xdr:cNvPr>
          <xdr:cNvSpPr/>
        </xdr:nvSpPr>
        <xdr:spPr>
          <a:xfrm>
            <a:off x="4434078" y="19669174"/>
            <a:ext cx="1379348" cy="34214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Étape suivante</a:t>
            </a:r>
          </a:p>
        </xdr:txBody>
      </xdr:sp>
      <xdr:sp macro="" textlink="">
        <xdr:nvSpPr>
          <xdr:cNvPr id="187" name="Step" descr="All about the SUM function, Hyperlinked to web&#10;&#10;">
            <a:hlinkClick xmlns:r="http://schemas.openxmlformats.org/officeDocument/2006/relationships" r:id="rId3" tooltip="Select to learn all about the SUM function from the web"/>
            <a:extLst>
              <a:ext uri="{FF2B5EF4-FFF2-40B4-BE49-F238E27FC236}">
                <a16:creationId xmlns:a16="http://schemas.microsoft.com/office/drawing/2014/main" id="{AB2D976E-4F84-41AE-9EC8-DB5589E60A01}"/>
              </a:ext>
            </a:extLst>
          </xdr:cNvPr>
          <xdr:cNvSpPr txBox="1"/>
        </xdr:nvSpPr>
        <xdr:spPr>
          <a:xfrm>
            <a:off x="1003908" y="17606489"/>
            <a:ext cx="1904391" cy="3037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88" name="Graphic 22" descr="Arrow">
            <a:hlinkClick xmlns:r="http://schemas.openxmlformats.org/officeDocument/2006/relationships" r:id="rId3" tooltip="Select to learn more from the web"/>
            <a:extLst>
              <a:ext uri="{FF2B5EF4-FFF2-40B4-BE49-F238E27FC236}">
                <a16:creationId xmlns:a16="http://schemas.microsoft.com/office/drawing/2014/main" id="{F5021BED-368D-4D1A-AE22-23F2D9D9A4F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517562"/>
            <a:ext cx="495829" cy="429422"/>
          </a:xfrm>
          <a:prstGeom prst="rect">
            <a:avLst/>
          </a:prstGeom>
        </xdr:spPr>
      </xdr:pic>
      <xdr:sp macro="" textlink="">
        <xdr:nvSpPr>
          <xdr:cNvPr id="189" name="Step" descr="All about using AutoSum to sum numbers, hyperlinked to web&#10;">
            <a:hlinkClick xmlns:r="http://schemas.openxmlformats.org/officeDocument/2006/relationships" r:id="rId6" tooltip="Select to learn all about using AutoSum to sum numbers on the web"/>
            <a:extLst>
              <a:ext uri="{FF2B5EF4-FFF2-40B4-BE49-F238E27FC236}">
                <a16:creationId xmlns:a16="http://schemas.microsoft.com/office/drawing/2014/main" id="{E8AF0476-BB01-4EAA-81FC-EFE0808FE13E}"/>
              </a:ext>
            </a:extLst>
          </xdr:cNvPr>
          <xdr:cNvSpPr txBox="1"/>
        </xdr:nvSpPr>
        <xdr:spPr>
          <a:xfrm>
            <a:off x="1003908" y="18058397"/>
            <a:ext cx="2447592" cy="2777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AutoSum</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sum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90" name="Graphic 22" descr="Arrow">
            <a:hlinkClick xmlns:r="http://schemas.openxmlformats.org/officeDocument/2006/relationships" r:id="rId6" tooltip="Select to learn more from the web"/>
            <a:extLst>
              <a:ext uri="{FF2B5EF4-FFF2-40B4-BE49-F238E27FC236}">
                <a16:creationId xmlns:a16="http://schemas.microsoft.com/office/drawing/2014/main" id="{5658871C-FCE3-481C-98FE-3BC3FCBCDE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7956370"/>
            <a:ext cx="495829" cy="435772"/>
          </a:xfrm>
          <a:prstGeom prst="rect">
            <a:avLst/>
          </a:prstGeom>
        </xdr:spPr>
      </xdr:pic>
      <xdr:sp macro="" textlink="">
        <xdr:nvSpPr>
          <xdr:cNvPr id="191" name="Step" descr="Learn all about the COUNT function, hyperlinked to web&#10;">
            <a:hlinkClick xmlns:r="http://schemas.openxmlformats.org/officeDocument/2006/relationships" r:id="rId7" tooltip="Select to learn all about the COUNT function on the web"/>
            <a:extLst>
              <a:ext uri="{FF2B5EF4-FFF2-40B4-BE49-F238E27FC236}">
                <a16:creationId xmlns:a16="http://schemas.microsoft.com/office/drawing/2014/main" id="{9FF9A895-01D5-42A2-8C16-126975374E45}"/>
              </a:ext>
            </a:extLst>
          </xdr:cNvPr>
          <xdr:cNvSpPr txBox="1"/>
        </xdr:nvSpPr>
        <xdr:spPr>
          <a:xfrm>
            <a:off x="1003908" y="18506516"/>
            <a:ext cx="2169366" cy="284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92" name="Graphic 22" descr="Arrow">
            <a:hlinkClick xmlns:r="http://schemas.openxmlformats.org/officeDocument/2006/relationships" r:id="rId7" tooltip="Select to learn more from the web"/>
            <a:extLst>
              <a:ext uri="{FF2B5EF4-FFF2-40B4-BE49-F238E27FC236}">
                <a16:creationId xmlns:a16="http://schemas.microsoft.com/office/drawing/2014/main" id="{C74A6681-1C06-4BF0-851E-51883A12B80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5353" y="18410828"/>
            <a:ext cx="495829" cy="429422"/>
          </a:xfrm>
          <a:prstGeom prst="rect">
            <a:avLst/>
          </a:prstGeom>
        </xdr:spPr>
      </xdr:pic>
      <xdr:sp macro="" textlink="">
        <xdr:nvSpPr>
          <xdr:cNvPr id="193" name="Step" descr="Free Excel training online, hyperlinked to web&#10;">
            <a:hlinkClick xmlns:r="http://schemas.openxmlformats.org/officeDocument/2006/relationships" r:id="rId8" tooltip="Select to learn about free Excel training on the web"/>
            <a:extLst>
              <a:ext uri="{FF2B5EF4-FFF2-40B4-BE49-F238E27FC236}">
                <a16:creationId xmlns:a16="http://schemas.microsoft.com/office/drawing/2014/main" id="{62BCA8C0-A9F1-4706-AAE7-F42F5ABFF970}"/>
              </a:ext>
            </a:extLst>
          </xdr:cNvPr>
          <xdr:cNvSpPr txBox="1"/>
        </xdr:nvSpPr>
        <xdr:spPr>
          <a:xfrm>
            <a:off x="1016608" y="18952686"/>
            <a:ext cx="2053617" cy="2973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94" name="Graphic 22" descr="Arrow">
            <a:hlinkClick xmlns:r="http://schemas.openxmlformats.org/officeDocument/2006/relationships" r:id="rId8" tooltip="Select to learn more from the web"/>
            <a:extLst>
              <a:ext uri="{FF2B5EF4-FFF2-40B4-BE49-F238E27FC236}">
                <a16:creationId xmlns:a16="http://schemas.microsoft.com/office/drawing/2014/main" id="{E7050C61-30E3-4AD4-A14D-97295961B1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48053" y="18857397"/>
            <a:ext cx="495829" cy="435772"/>
          </a:xfrm>
          <a:prstGeom prst="rect">
            <a:avLst/>
          </a:prstGeom>
        </xdr:spPr>
      </xdr:pic>
    </xdr:grpSp>
    <xdr:clientData/>
  </xdr:twoCellAnchor>
  <xdr:twoCellAnchor editAs="oneCell">
    <xdr:from>
      <xdr:col>2</xdr:col>
      <xdr:colOff>76200</xdr:colOff>
      <xdr:row>51</xdr:row>
      <xdr:rowOff>6346</xdr:rowOff>
    </xdr:from>
    <xdr:to>
      <xdr:col>6</xdr:col>
      <xdr:colOff>647699</xdr:colOff>
      <xdr:row>60</xdr:row>
      <xdr:rowOff>60319</xdr:rowOff>
    </xdr:to>
    <xdr:grpSp>
      <xdr:nvGrpSpPr>
        <xdr:cNvPr id="195" name="IMPORTANT DETAIL" descr="IMPORTANT DETAIL&#10;Double-click this cell. You'll notice the 100 toward the end. Although it's possible to put numbers in a formula like this, we don't recommend it unless it's absolutely necessary. This is known as a constant, and it's easy to forget that it's there. We recommended referring to another cell instead. That way it's easily seen and not hidden inside a formula&#10;">
          <a:extLst>
            <a:ext uri="{FF2B5EF4-FFF2-40B4-BE49-F238E27FC236}">
              <a16:creationId xmlns:a16="http://schemas.microsoft.com/office/drawing/2014/main" id="{74BFEDDD-8921-45D1-999F-60CB0E0DD7BD}"/>
            </a:ext>
          </a:extLst>
        </xdr:cNvPr>
        <xdr:cNvGrpSpPr/>
      </xdr:nvGrpSpPr>
      <xdr:grpSpPr>
        <a:xfrm>
          <a:off x="6629400" y="10293346"/>
          <a:ext cx="3657599" cy="1768473"/>
          <a:chOff x="6788150" y="10960177"/>
          <a:chExt cx="3714749" cy="1708070"/>
        </a:xfrm>
      </xdr:grpSpPr>
      <xdr:sp macro="" textlink="">
        <xdr:nvSpPr>
          <xdr:cNvPr id="196" name="Instruction" descr="IMPORTANT DETAIL&#10;Double-click this cell. You'll notice the 100 toward the end. Although it's possible to put numbers in a formula like this, we don't recommend it unless it's absolutely necessary. This is known as a constant, and it's easy to forget that it's there. We recommend referring to another cell instead, like cell F51. That way it's easily seen and not hidden inside a formula. &#10;&#10;">
            <a:extLst>
              <a:ext uri="{FF2B5EF4-FFF2-40B4-BE49-F238E27FC236}">
                <a16:creationId xmlns:a16="http://schemas.microsoft.com/office/drawing/2014/main" id="{1FE4BFF8-BF17-48D3-9562-7351530CBA15}"/>
              </a:ext>
            </a:extLst>
          </xdr:cNvPr>
          <xdr:cNvSpPr txBox="1"/>
        </xdr:nvSpPr>
        <xdr:spPr>
          <a:xfrm>
            <a:off x="7073899" y="11363323"/>
            <a:ext cx="3429000" cy="13049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IMPORTANT DETAIL</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You'll notice the </a:t>
            </a:r>
            <a:r>
              <a:rPr lang="en-US" sz="1100" b="0" i="1" kern="1200" baseline="0">
                <a:solidFill>
                  <a:schemeClr val="dk1"/>
                </a:solidFill>
                <a:effectLst/>
                <a:latin typeface="+mn-lt"/>
                <a:ea typeface="+mn-ea"/>
                <a:cs typeface="+mn-cs"/>
              </a:rPr>
              <a:t>100</a:t>
            </a:r>
            <a:r>
              <a:rPr lang="en-US" sz="1100" b="0" i="0" kern="1200" baseline="0">
                <a:solidFill>
                  <a:schemeClr val="dk1"/>
                </a:solidFill>
                <a:effectLst/>
                <a:latin typeface="+mn-lt"/>
                <a:ea typeface="+mn-ea"/>
                <a:cs typeface="+mn-cs"/>
              </a:rPr>
              <a:t> toward the end. Although it's possible to put numbers in a formula like this, we don't recommend it unless it's absolutely necessary. This is known as a </a:t>
            </a:r>
            <a:r>
              <a:rPr lang="en-US" sz="1100" b="1" i="0" kern="1200" baseline="0">
                <a:solidFill>
                  <a:schemeClr val="dk1"/>
                </a:solidFill>
                <a:effectLst/>
                <a:latin typeface="+mn-lt"/>
                <a:ea typeface="+mn-ea"/>
                <a:cs typeface="+mn-cs"/>
              </a:rPr>
              <a:t>constant</a:t>
            </a:r>
            <a:r>
              <a:rPr lang="en-US" sz="1100" b="0" i="0" kern="1200" baseline="0">
                <a:solidFill>
                  <a:schemeClr val="dk1"/>
                </a:solidFill>
                <a:effectLst/>
                <a:latin typeface="+mn-lt"/>
                <a:ea typeface="+mn-ea"/>
                <a:cs typeface="+mn-cs"/>
              </a:rPr>
              <a:t>, and it's easy to forget that it's there. We recommend referring to another cell instead, like cell F51. That way it's easily seen and not hidden inside a formula. </a:t>
            </a:r>
            <a:endParaRPr lang="en-US" sz="1100">
              <a:effectLst/>
            </a:endParaRPr>
          </a:p>
        </xdr:txBody>
      </xdr:sp>
      <xdr:pic>
        <xdr:nvPicPr>
          <xdr:cNvPr id="197" name="Magnify glass" descr="Magnifying glass">
            <a:extLst>
              <a:ext uri="{FF2B5EF4-FFF2-40B4-BE49-F238E27FC236}">
                <a16:creationId xmlns:a16="http://schemas.microsoft.com/office/drawing/2014/main" id="{BD3806F3-ED82-4149-875A-74D812F8E6F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flipH="1">
            <a:off x="6788150" y="11420475"/>
            <a:ext cx="352313" cy="339611"/>
          </a:xfrm>
          <a:prstGeom prst="rect">
            <a:avLst/>
          </a:prstGeom>
        </xdr:spPr>
      </xdr:pic>
      <xdr:sp macro="" textlink="">
        <xdr:nvSpPr>
          <xdr:cNvPr id="198" name="Arrow" descr="Arrow">
            <a:extLst>
              <a:ext uri="{FF2B5EF4-FFF2-40B4-BE49-F238E27FC236}">
                <a16:creationId xmlns:a16="http://schemas.microsoft.com/office/drawing/2014/main" id="{AD1DFADD-C889-466B-A332-624664B0EE01}"/>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4</xdr:col>
      <xdr:colOff>7422</xdr:colOff>
      <xdr:row>33</xdr:row>
      <xdr:rowOff>179291</xdr:rowOff>
    </xdr:from>
    <xdr:to>
      <xdr:col>10</xdr:col>
      <xdr:colOff>2</xdr:colOff>
      <xdr:row>43</xdr:row>
      <xdr:rowOff>144781</xdr:rowOff>
    </xdr:to>
    <xdr:grpSp>
      <xdr:nvGrpSpPr>
        <xdr:cNvPr id="2" name="Group 1">
          <a:extLst>
            <a:ext uri="{FF2B5EF4-FFF2-40B4-BE49-F238E27FC236}">
              <a16:creationId xmlns:a16="http://schemas.microsoft.com/office/drawing/2014/main" id="{C31E7FA9-873B-48E5-80FF-FEEB66A44E83}"/>
            </a:ext>
          </a:extLst>
        </xdr:cNvPr>
        <xdr:cNvGrpSpPr/>
      </xdr:nvGrpSpPr>
      <xdr:grpSpPr>
        <a:xfrm>
          <a:off x="8389422" y="7037291"/>
          <a:ext cx="3993080" cy="1870490"/>
          <a:chOff x="8151296" y="7023448"/>
          <a:chExt cx="3230523" cy="1428937"/>
        </a:xfrm>
      </xdr:grpSpPr>
      <xdr:pic>
        <xdr:nvPicPr>
          <xdr:cNvPr id="200" name="Status bar graphic" descr="Status bar graphic Sum: 170">
            <a:extLst>
              <a:ext uri="{FF2B5EF4-FFF2-40B4-BE49-F238E27FC236}">
                <a16:creationId xmlns:a16="http://schemas.microsoft.com/office/drawing/2014/main" id="{26CBE60B-8C6B-4B6C-A49E-B12121A259CA}"/>
              </a:ext>
            </a:extLst>
          </xdr:cNvPr>
          <xdr:cNvPicPr>
            <a:picLocks noChangeAspect="1"/>
          </xdr:cNvPicPr>
        </xdr:nvPicPr>
        <xdr:blipFill rotWithShape="1">
          <a:blip xmlns:r="http://schemas.openxmlformats.org/officeDocument/2006/relationships" r:embed="rId11"/>
          <a:srcRect t="5716"/>
          <a:stretch/>
        </xdr:blipFill>
        <xdr:spPr>
          <a:xfrm>
            <a:off x="8877194" y="7642326"/>
            <a:ext cx="1386338" cy="188153"/>
          </a:xfrm>
          <a:prstGeom prst="rect">
            <a:avLst/>
          </a:prstGeom>
        </xdr:spPr>
      </xdr:pic>
      <xdr:grpSp>
        <xdr:nvGrpSpPr>
          <xdr:cNvPr id="201" name="CHECK THIS OUT" descr="CHECK THIS OUT&#10;Select these cells. Then in the lower-right corner of the Excel window, look for this:&#10;SUM: 170&#10;That's just another way to quickly find a total&#10;">
            <a:extLst>
              <a:ext uri="{FF2B5EF4-FFF2-40B4-BE49-F238E27FC236}">
                <a16:creationId xmlns:a16="http://schemas.microsoft.com/office/drawing/2014/main" id="{185E3144-984A-4865-9CA1-5E50300588AC}"/>
              </a:ext>
            </a:extLst>
          </xdr:cNvPr>
          <xdr:cNvGrpSpPr/>
        </xdr:nvGrpSpPr>
        <xdr:grpSpPr>
          <a:xfrm>
            <a:off x="8151296" y="7023448"/>
            <a:ext cx="3230523" cy="1428937"/>
            <a:chOff x="7539454" y="8038700"/>
            <a:chExt cx="3068637" cy="1428937"/>
          </a:xfrm>
        </xdr:grpSpPr>
        <xdr:grpSp>
          <xdr:nvGrpSpPr>
            <xdr:cNvPr id="202" name="Bracket lines">
              <a:extLst>
                <a:ext uri="{FF2B5EF4-FFF2-40B4-BE49-F238E27FC236}">
                  <a16:creationId xmlns:a16="http://schemas.microsoft.com/office/drawing/2014/main" id="{39B8838E-B75E-4D56-BA4D-0128784A2A5B}"/>
                </a:ext>
              </a:extLst>
            </xdr:cNvPr>
            <xdr:cNvGrpSpPr/>
          </xdr:nvGrpSpPr>
          <xdr:grpSpPr>
            <a:xfrm rot="599914">
              <a:off x="7539454" y="8145377"/>
              <a:ext cx="293814" cy="698211"/>
              <a:chOff x="9871108" y="1184220"/>
              <a:chExt cx="273326" cy="789155"/>
            </a:xfrm>
          </xdr:grpSpPr>
          <xdr:sp macro="" textlink="">
            <xdr:nvSpPr>
              <xdr:cNvPr id="205" name="Another bracket line" descr="Bracket line">
                <a:extLst>
                  <a:ext uri="{FF2B5EF4-FFF2-40B4-BE49-F238E27FC236}">
                    <a16:creationId xmlns:a16="http://schemas.microsoft.com/office/drawing/2014/main" id="{72B2B640-A2B0-4922-83C7-1C432E167FD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206" name="Bracket line" descr="Bracket line&#10;">
                <a:extLst>
                  <a:ext uri="{FF2B5EF4-FFF2-40B4-BE49-F238E27FC236}">
                    <a16:creationId xmlns:a16="http://schemas.microsoft.com/office/drawing/2014/main" id="{86293DF6-F5A1-4474-9B8D-813EECCF9D18}"/>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203" name="Stars" descr="Stars">
              <a:extLst>
                <a:ext uri="{FF2B5EF4-FFF2-40B4-BE49-F238E27FC236}">
                  <a16:creationId xmlns:a16="http://schemas.microsoft.com/office/drawing/2014/main" id="{85803565-64C2-4B68-868B-9D7CA538F6D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830674" y="8038700"/>
              <a:ext cx="388098" cy="337815"/>
            </a:xfrm>
            <a:prstGeom prst="rect">
              <a:avLst/>
            </a:prstGeom>
          </xdr:spPr>
        </xdr:pic>
        <xdr:sp macro="" textlink="">
          <xdr:nvSpPr>
            <xdr:cNvPr id="204" name="Instructions" descr="CHECK THIS OUT&#10;Select these cells. Then in the lower-right corner of the Excel window, look for SUM: 170 in the bar.&#10;&#10;That's called the Status Bar, and it's just another way to quickly find a total and other details about a selected cell or range. &#10;">
              <a:extLst>
                <a:ext uri="{FF2B5EF4-FFF2-40B4-BE49-F238E27FC236}">
                  <a16:creationId xmlns:a16="http://schemas.microsoft.com/office/drawing/2014/main" id="{8143D8DB-BD14-4B1D-99E1-49C9F0560BD1}"/>
                </a:ext>
              </a:extLst>
            </xdr:cNvPr>
            <xdr:cNvSpPr txBox="1"/>
          </xdr:nvSpPr>
          <xdr:spPr>
            <a:xfrm>
              <a:off x="8150094" y="8057936"/>
              <a:ext cx="2457997"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ESSAYE CA</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Sélectionne ces cellules. Ensuite, dans le coin inférieur droit de la fenêtre Excel, recherchez ceci :</a:t>
              </a:r>
            </a:p>
            <a:p>
              <a:pPr lv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br>
                <a:rPr lang="en-US" sz="1100" kern="0" baseline="0">
                  <a:solidFill>
                    <a:schemeClr val="bg2">
                      <a:lumMod val="25000"/>
                    </a:schemeClr>
                  </a:solidFill>
                  <a:latin typeface="+mn-lt"/>
                  <a:ea typeface="Segoe UI" pitchFamily="34" charset="0"/>
                  <a:cs typeface="Segoe UI Light" panose="020B0502040204020203" pitchFamily="34" charset="0"/>
                </a:rPr>
              </a:b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kern="0" baseline="0">
                  <a:solidFill>
                    <a:schemeClr val="bg2">
                      <a:lumMod val="25000"/>
                    </a:schemeClr>
                  </a:solidFill>
                  <a:latin typeface="+mn-lt"/>
                  <a:ea typeface="Segoe UI" pitchFamily="34" charset="0"/>
                  <a:cs typeface="Segoe UI Light" panose="020B0502040204020203" pitchFamily="34" charset="0"/>
                </a:rPr>
                <a:t>C’est ce qu’on appelle la barre d’état, et c’est juste un autre moyen de trouver rapidement un total et d’autres détails sur une cellule ou une plage sélectionnée. </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grpSp>
    <xdr:clientData/>
  </xdr:twoCellAnchor>
  <xdr:twoCellAnchor editAs="oneCell">
    <xdr:from>
      <xdr:col>5</xdr:col>
      <xdr:colOff>676274</xdr:colOff>
      <xdr:row>15</xdr:row>
      <xdr:rowOff>28576</xdr:rowOff>
    </xdr:from>
    <xdr:to>
      <xdr:col>9</xdr:col>
      <xdr:colOff>257173</xdr:colOff>
      <xdr:row>22</xdr:row>
      <xdr:rowOff>85725</xdr:rowOff>
    </xdr:to>
    <xdr:grpSp>
      <xdr:nvGrpSpPr>
        <xdr:cNvPr id="207" name="Group 206" descr="EXTRA CREDIT&#10;Try adding another SUMIF formula here, but add amounts that are less than 100. The result should be 160&#10;">
          <a:extLst>
            <a:ext uri="{FF2B5EF4-FFF2-40B4-BE49-F238E27FC236}">
              <a16:creationId xmlns:a16="http://schemas.microsoft.com/office/drawing/2014/main" id="{E7464239-05BB-404B-98D2-35A40E4685F6}"/>
            </a:ext>
          </a:extLst>
        </xdr:cNvPr>
        <xdr:cNvGrpSpPr/>
      </xdr:nvGrpSpPr>
      <xdr:grpSpPr>
        <a:xfrm>
          <a:off x="9218294" y="3457576"/>
          <a:ext cx="2811779" cy="1390649"/>
          <a:chOff x="9048750" y="3743325"/>
          <a:chExt cx="2839722" cy="1390649"/>
        </a:xfrm>
      </xdr:grpSpPr>
      <xdr:sp macro="" textlink="">
        <xdr:nvSpPr>
          <xdr:cNvPr id="208" name="Step" descr="EXTRA CREDIT&#10;Try the COUNT function using any of the methods you've already tried. The COUNT function counts the number of cells in a range that contain numbers.&#10;">
            <a:extLst>
              <a:ext uri="{FF2B5EF4-FFF2-40B4-BE49-F238E27FC236}">
                <a16:creationId xmlns:a16="http://schemas.microsoft.com/office/drawing/2014/main" id="{6928421E-45CA-4B1D-9312-B8F551C6A306}"/>
              </a:ext>
            </a:extLst>
          </xdr:cNvPr>
          <xdr:cNvSpPr txBox="1"/>
        </xdr:nvSpPr>
        <xdr:spPr>
          <a:xfrm>
            <a:off x="9648642" y="3905249"/>
            <a:ext cx="2239830"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AVANTAGE SUPPLÉMENTAIRE</a:t>
            </a:r>
          </a:p>
          <a:p>
            <a:pPr eaLnBrk="1" fontAlgn="auto" latinLnBrk="0" hangingPunct="1"/>
            <a:r>
              <a:rPr lang="en-US" sz="1100" b="0" i="0" kern="1200" baseline="0">
                <a:solidFill>
                  <a:schemeClr val="dk1"/>
                </a:solidFill>
                <a:effectLst/>
                <a:latin typeface="+mn-lt"/>
                <a:ea typeface="+mn-ea"/>
                <a:cs typeface="+mn-cs"/>
              </a:rPr>
              <a:t>Essayez la fonction </a:t>
            </a:r>
            <a:r>
              <a:rPr lang="en-US" sz="1100" b="1" i="0" kern="1200" baseline="0">
                <a:solidFill>
                  <a:schemeClr val="dk1"/>
                </a:solidFill>
                <a:effectLst/>
                <a:latin typeface="+mn-lt"/>
                <a:ea typeface="+mn-ea"/>
                <a:cs typeface="+mn-cs"/>
              </a:rPr>
              <a:t>NB</a:t>
            </a:r>
            <a:r>
              <a:rPr lang="en-US" sz="1100" b="0" i="0" kern="1200" baseline="0">
                <a:solidFill>
                  <a:schemeClr val="dk1"/>
                </a:solidFill>
                <a:effectLst/>
                <a:latin typeface="+mn-lt"/>
                <a:ea typeface="+mn-ea"/>
                <a:cs typeface="+mn-cs"/>
              </a:rPr>
              <a:t> à l’aide de l’une des méthodes que vous avez déjà essayées. La fonction </a:t>
            </a:r>
            <a:r>
              <a:rPr lang="en-US" sz="1100" b="1" i="0" kern="1200" baseline="0">
                <a:solidFill>
                  <a:schemeClr val="dk1"/>
                </a:solidFill>
                <a:effectLst/>
                <a:latin typeface="+mn-lt"/>
                <a:ea typeface="+mn-ea"/>
                <a:cs typeface="+mn-cs"/>
              </a:rPr>
              <a:t>NB</a:t>
            </a:r>
            <a:r>
              <a:rPr lang="en-US" sz="1100" b="0" i="0" kern="1200" baseline="0">
                <a:solidFill>
                  <a:schemeClr val="dk1"/>
                </a:solidFill>
                <a:effectLst/>
                <a:latin typeface="+mn-lt"/>
                <a:ea typeface="+mn-ea"/>
                <a:cs typeface="+mn-cs"/>
              </a:rPr>
              <a:t> compte le nombre de cellules d’une plage contenant des nombres.</a:t>
            </a:r>
          </a:p>
        </xdr:txBody>
      </xdr:sp>
      <xdr:pic>
        <xdr:nvPicPr>
          <xdr:cNvPr id="209" name="Extra credit ribbon" descr="Decorative ribbon">
            <a:extLst>
              <a:ext uri="{FF2B5EF4-FFF2-40B4-BE49-F238E27FC236}">
                <a16:creationId xmlns:a16="http://schemas.microsoft.com/office/drawing/2014/main" id="{3A786831-0C9C-490F-B991-4BE5CEF7FC7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287099" y="3950551"/>
            <a:ext cx="474289" cy="439736"/>
          </a:xfrm>
          <a:prstGeom prst="rect">
            <a:avLst/>
          </a:prstGeom>
        </xdr:spPr>
      </xdr:pic>
      <xdr:sp macro="" textlink="">
        <xdr:nvSpPr>
          <xdr:cNvPr id="210" name="Extra Credit Arrow" descr="Arrow">
            <a:extLst>
              <a:ext uri="{FF2B5EF4-FFF2-40B4-BE49-F238E27FC236}">
                <a16:creationId xmlns:a16="http://schemas.microsoft.com/office/drawing/2014/main" id="{5529D458-6B38-4317-A9FD-A9793D972E5B}"/>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355809</xdr:colOff>
      <xdr:row>22</xdr:row>
      <xdr:rowOff>28580</xdr:rowOff>
    </xdr:from>
    <xdr:to>
      <xdr:col>1</xdr:col>
      <xdr:colOff>5241372</xdr:colOff>
      <xdr:row>63</xdr:row>
      <xdr:rowOff>66675</xdr:rowOff>
    </xdr:to>
    <xdr:grpSp>
      <xdr:nvGrpSpPr>
        <xdr:cNvPr id="4" name="Group 3">
          <a:extLst>
            <a:ext uri="{FF2B5EF4-FFF2-40B4-BE49-F238E27FC236}">
              <a16:creationId xmlns:a16="http://schemas.microsoft.com/office/drawing/2014/main" id="{F60B4319-44A9-469F-A62C-1D9E3BD387BB}"/>
            </a:ext>
          </a:extLst>
        </xdr:cNvPr>
        <xdr:cNvGrpSpPr/>
      </xdr:nvGrpSpPr>
      <xdr:grpSpPr>
        <a:xfrm>
          <a:off x="355809" y="4791080"/>
          <a:ext cx="5754243" cy="7848595"/>
          <a:chOff x="355809" y="4791079"/>
          <a:chExt cx="5733288" cy="7848596"/>
        </a:xfrm>
      </xdr:grpSpPr>
      <xdr:sp macro="" textlink="">
        <xdr:nvSpPr>
          <xdr:cNvPr id="227" name="Rectangle 226" descr="Background">
            <a:extLst>
              <a:ext uri="{FF2B5EF4-FFF2-40B4-BE49-F238E27FC236}">
                <a16:creationId xmlns:a16="http://schemas.microsoft.com/office/drawing/2014/main" id="{FE05A65F-6F64-4D5F-8F2C-C74D8B5B4B8A}"/>
              </a:ext>
            </a:extLst>
          </xdr:cNvPr>
          <xdr:cNvSpPr/>
        </xdr:nvSpPr>
        <xdr:spPr>
          <a:xfrm>
            <a:off x="355809" y="4791079"/>
            <a:ext cx="5733288" cy="784859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28" name="Straight Connector 227" descr="Decorative line">
            <a:extLst>
              <a:ext uri="{FF2B5EF4-FFF2-40B4-BE49-F238E27FC236}">
                <a16:creationId xmlns:a16="http://schemas.microsoft.com/office/drawing/2014/main" id="{E01E9DE0-78BF-4EAC-AF4D-2F1BE5EF054F}"/>
              </a:ext>
            </a:extLst>
          </xdr:cNvPr>
          <xdr:cNvCxnSpPr>
            <a:cxnSpLocks/>
          </xdr:cNvCxnSpPr>
        </xdr:nvCxnSpPr>
        <xdr:spPr>
          <a:xfrm>
            <a:off x="549298" y="5465828"/>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29" name="Straight Connector 228" descr="Decorative line">
            <a:extLst>
              <a:ext uri="{FF2B5EF4-FFF2-40B4-BE49-F238E27FC236}">
                <a16:creationId xmlns:a16="http://schemas.microsoft.com/office/drawing/2014/main" id="{178E934D-C0C4-4CD9-B5EC-2F0A9FC59848}"/>
              </a:ext>
            </a:extLst>
          </xdr:cNvPr>
          <xdr:cNvCxnSpPr>
            <a:cxnSpLocks/>
          </xdr:cNvCxnSpPr>
        </xdr:nvCxnSpPr>
        <xdr:spPr>
          <a:xfrm>
            <a:off x="549298" y="12411222"/>
            <a:ext cx="5251045"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0" name="Step" descr="More about functions&#10;">
            <a:extLst>
              <a:ext uri="{FF2B5EF4-FFF2-40B4-BE49-F238E27FC236}">
                <a16:creationId xmlns:a16="http://schemas.microsoft.com/office/drawing/2014/main" id="{07DB6895-0278-4CEA-ABE6-CD6248F44EB5}"/>
              </a:ext>
            </a:extLst>
          </xdr:cNvPr>
          <xdr:cNvSpPr txBox="1"/>
        </xdr:nvSpPr>
        <xdr:spPr>
          <a:xfrm>
            <a:off x="549298" y="4916672"/>
            <a:ext cx="4908527" cy="5274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En savoir plus sur les fonctions</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31" name="Step" descr="Go to the Formulas tab and browse through the Function Library, where functions are listed by category, like Text, Date &amp; Time, etc. Insert Function will let you search for functions by name, and launch a function wizard that can help you build your formula. &#10;&#10;When you start typing a function name after you press =, Excel will launch Intellisense, which will list all of the functions starting with the letters you type. When you find the one you want, press Tab, and Excel will automatically finish the function name and enter the opening parenthesis for you. It will also display the optional and required arguments. &#10;&#10;Now let's look at the anatomy of a few functions. The SUM function is structured like this:&#10;&#10;=SUM(D38:D41,H:H&quot;), where SUM is the function name, D38:D41 is the first argument. It's almost always required. H:H is an additional argument, separated by commas.&#10;&#10;">
            <a:extLst>
              <a:ext uri="{FF2B5EF4-FFF2-40B4-BE49-F238E27FC236}">
                <a16:creationId xmlns:a16="http://schemas.microsoft.com/office/drawing/2014/main" id="{17A99C0A-6405-4FD6-AD00-AD6255FB6C83}"/>
              </a:ext>
            </a:extLst>
          </xdr:cNvPr>
          <xdr:cNvSpPr txBox="1"/>
        </xdr:nvSpPr>
        <xdr:spPr>
          <a:xfrm>
            <a:off x="564213" y="5559755"/>
            <a:ext cx="5416016" cy="1793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Allez dans l’onglet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Formules</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et parcourez la bibliothèque de fonctions, où les fonctions sont répertoriées par catégorie, comme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Texte, Date et heure, etc. </a:t>
            </a:r>
          </a:p>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Insérer une fonction vous permettra de rechercher des fonctions par nom et de lancer un assistant de fonction qui peut vous aider à créer votre formule. Lorsque vous commencez à taper un nom de fonction après avoir appuyé sur </a:t>
            </a:r>
            <a:r>
              <a:rPr lang="en-US" sz="1100" b="1"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Excel lance Intellisense, qui répertorie toutes les fonctions commençant par les lettres que vous tapez. Lorsque vous trouvez celui que vous voulez, appuyez sur Tab et Excel terminera automatiquement le nom de la fonction et entrera la parenthèse ouvrante pour vous. Il affichera également les arguments facultatifs et obligatoires. </a:t>
            </a:r>
          </a:p>
          <a:p>
            <a:pPr lvl="0">
              <a:defRPr/>
            </a:pPr>
            <a:b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b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endPar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a:p>
            <a:pPr lvl="0">
              <a:defRPr/>
            </a:pP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Regardons maintenant l’anatomie de quelques fonctions. La fonction </a:t>
            </a:r>
            <a:r>
              <a:rPr lang="en-US" sz="1100" b="1"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SOMME</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est structurée comme suit :</a:t>
            </a: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grpSp>
    <xdr:clientData/>
  </xdr:twoCellAnchor>
  <xdr:twoCellAnchor>
    <xdr:from>
      <xdr:col>1</xdr:col>
      <xdr:colOff>557896</xdr:colOff>
      <xdr:row>41</xdr:row>
      <xdr:rowOff>57151</xdr:rowOff>
    </xdr:from>
    <xdr:to>
      <xdr:col>1</xdr:col>
      <xdr:colOff>4618798</xdr:colOff>
      <xdr:row>50</xdr:row>
      <xdr:rowOff>134983</xdr:rowOff>
    </xdr:to>
    <xdr:grpSp>
      <xdr:nvGrpSpPr>
        <xdr:cNvPr id="214" name="Group 213">
          <a:extLst>
            <a:ext uri="{FF2B5EF4-FFF2-40B4-BE49-F238E27FC236}">
              <a16:creationId xmlns:a16="http://schemas.microsoft.com/office/drawing/2014/main" id="{FB827C73-8C3F-460A-9D51-BF988EA48D11}"/>
            </a:ext>
          </a:extLst>
        </xdr:cNvPr>
        <xdr:cNvGrpSpPr/>
      </xdr:nvGrpSpPr>
      <xdr:grpSpPr>
        <a:xfrm>
          <a:off x="1426576" y="8439151"/>
          <a:ext cx="4060902" cy="1792332"/>
          <a:chOff x="4319575" y="4314825"/>
          <a:chExt cx="3445154" cy="1792332"/>
        </a:xfrm>
      </xdr:grpSpPr>
      <xdr:sp macro="" textlink="">
        <xdr:nvSpPr>
          <xdr:cNvPr id="219" name="txt_Formula" descr="=SUM(D38:D41) ">
            <a:extLst>
              <a:ext uri="{FF2B5EF4-FFF2-40B4-BE49-F238E27FC236}">
                <a16:creationId xmlns:a16="http://schemas.microsoft.com/office/drawing/2014/main" id="{7E312E8D-370B-4CB1-9C30-9E10D575E721}"/>
              </a:ext>
            </a:extLst>
          </xdr:cNvPr>
          <xdr:cNvSpPr txBox="1"/>
        </xdr:nvSpPr>
        <xdr:spPr>
          <a:xfrm>
            <a:off x="4631906" y="5575935"/>
            <a:ext cx="313282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=SOMME(D38:D41;H:H)</a:t>
            </a:r>
            <a:endParaRPr lang="en-US" sz="2000">
              <a:effectLst/>
              <a:latin typeface="Times New Roman" panose="02020603050405020304" pitchFamily="18" charset="0"/>
              <a:ea typeface="Times New Roman" panose="02020603050405020304" pitchFamily="18" charset="0"/>
            </a:endParaRPr>
          </a:p>
        </xdr:txBody>
      </xdr:sp>
      <xdr:grpSp>
        <xdr:nvGrpSpPr>
          <xdr:cNvPr id="220" name="Group 219">
            <a:extLst>
              <a:ext uri="{FF2B5EF4-FFF2-40B4-BE49-F238E27FC236}">
                <a16:creationId xmlns:a16="http://schemas.microsoft.com/office/drawing/2014/main" id="{EA425C25-3538-467E-9C7D-913A4CCFBE52}"/>
              </a:ext>
            </a:extLst>
          </xdr:cNvPr>
          <xdr:cNvGrpSpPr/>
        </xdr:nvGrpSpPr>
        <xdr:grpSpPr>
          <a:xfrm>
            <a:off x="4319575" y="4314825"/>
            <a:ext cx="3211514" cy="1377484"/>
            <a:chOff x="4319575" y="4314825"/>
            <a:chExt cx="3211514" cy="1377484"/>
          </a:xfrm>
        </xdr:grpSpPr>
        <xdr:sp macro="" textlink="">
          <xdr:nvSpPr>
            <xdr:cNvPr id="221" name="FormulaBraceUpper">
              <a:extLst>
                <a:ext uri="{FF2B5EF4-FFF2-40B4-BE49-F238E27FC236}">
                  <a16:creationId xmlns:a16="http://schemas.microsoft.com/office/drawing/2014/main" id="{70C6032A-6C2C-406B-8451-B3D14C49A6BC}"/>
                </a:ext>
              </a:extLst>
            </xdr:cNvPr>
            <xdr:cNvSpPr/>
          </xdr:nvSpPr>
          <xdr:spPr>
            <a:xfrm rot="5400000">
              <a:off x="6515848" y="5194067"/>
              <a:ext cx="499277" cy="485776"/>
            </a:xfrm>
            <a:prstGeom prst="leftBrace">
              <a:avLst>
                <a:gd name="adj1" fmla="val 8333"/>
                <a:gd name="adj2" fmla="val 26470"/>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2" name="FormulaBraceUpper">
              <a:extLst>
                <a:ext uri="{FF2B5EF4-FFF2-40B4-BE49-F238E27FC236}">
                  <a16:creationId xmlns:a16="http://schemas.microsoft.com/office/drawing/2014/main" id="{56068F5B-8EA0-44DA-8571-8698F744FFA6}"/>
                </a:ext>
              </a:extLst>
            </xdr:cNvPr>
            <xdr:cNvSpPr/>
          </xdr:nvSpPr>
          <xdr:spPr>
            <a:xfrm rot="5400000">
              <a:off x="5728026" y="4914033"/>
              <a:ext cx="499277" cy="1057275"/>
            </a:xfrm>
            <a:prstGeom prst="leftBrace">
              <a:avLst>
                <a:gd name="adj1" fmla="val 8333"/>
                <a:gd name="adj2" fmla="val 23874"/>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3" name="FormulaBraceUpper">
              <a:extLst>
                <a:ext uri="{FF2B5EF4-FFF2-40B4-BE49-F238E27FC236}">
                  <a16:creationId xmlns:a16="http://schemas.microsoft.com/office/drawing/2014/main" id="{B06AACB5-79F8-4B5A-828E-3C81B8A6126C}"/>
                </a:ext>
              </a:extLst>
            </xdr:cNvPr>
            <xdr:cNvSpPr/>
          </xdr:nvSpPr>
          <xdr:spPr>
            <a:xfrm rot="5400000">
              <a:off x="4885454" y="5124057"/>
              <a:ext cx="464988" cy="6372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24" name="txt_FormulaCalloutUpper" descr="The function name&#10;">
              <a:extLst>
                <a:ext uri="{FF2B5EF4-FFF2-40B4-BE49-F238E27FC236}">
                  <a16:creationId xmlns:a16="http://schemas.microsoft.com/office/drawing/2014/main" id="{A51B4DC7-A90C-4214-A9E2-B085B4A03BC0}"/>
                </a:ext>
              </a:extLst>
            </xdr:cNvPr>
            <xdr:cNvSpPr txBox="1">
              <a:spLocks noChangeArrowheads="1"/>
            </xdr:cNvSpPr>
          </xdr:nvSpPr>
          <xdr:spPr bwMode="auto">
            <a:xfrm>
              <a:off x="4319575" y="4314825"/>
              <a:ext cx="1013603"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Le nom</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de la fonction</a:t>
              </a:r>
              <a:r>
                <a:rPr lang="en-US" sz="1100">
                  <a:effectLst/>
                  <a:latin typeface="Calibri" panose="020F0502020204030204" pitchFamily="34" charset="0"/>
                  <a:ea typeface="Calibri" panose="020F0502020204030204" pitchFamily="34" charset="0"/>
                  <a:cs typeface="Times New Roman" panose="02020603050405020304" pitchFamily="18" charset="0"/>
                </a:rPr>
                <a:t>.</a:t>
              </a:r>
            </a:p>
          </xdr:txBody>
        </xdr:sp>
        <xdr:sp macro="" textlink="">
          <xdr:nvSpPr>
            <xdr:cNvPr id="225" name="txt_FormulaCalloutUpper" descr="The first argument. It's almost always required.&#10;&#10;">
              <a:extLst>
                <a:ext uri="{FF2B5EF4-FFF2-40B4-BE49-F238E27FC236}">
                  <a16:creationId xmlns:a16="http://schemas.microsoft.com/office/drawing/2014/main" id="{1AA6C65B-1638-43C3-9BBA-D39DAF05E74C}"/>
                </a:ext>
              </a:extLst>
            </xdr:cNvPr>
            <xdr:cNvSpPr txBox="1">
              <a:spLocks noChangeArrowheads="1"/>
            </xdr:cNvSpPr>
          </xdr:nvSpPr>
          <xdr:spPr bwMode="auto">
            <a:xfrm>
              <a:off x="5472101" y="4324350"/>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Le premier argument. C’est presque toujours nécessaire.</a:t>
              </a:r>
            </a:p>
          </xdr:txBody>
        </xdr:sp>
        <xdr:sp macro="" textlink="">
          <xdr:nvSpPr>
            <xdr:cNvPr id="226" name="txt_FormulaCalloutUpper" descr="Additional arguments, separated by commas (,).&#10;&#10;">
              <a:extLst>
                <a:ext uri="{FF2B5EF4-FFF2-40B4-BE49-F238E27FC236}">
                  <a16:creationId xmlns:a16="http://schemas.microsoft.com/office/drawing/2014/main" id="{2E5F66AD-98E4-4B2A-B2BA-C09105B1A21B}"/>
                </a:ext>
              </a:extLst>
            </xdr:cNvPr>
            <xdr:cNvSpPr txBox="1">
              <a:spLocks noChangeArrowheads="1"/>
            </xdr:cNvSpPr>
          </xdr:nvSpPr>
          <xdr:spPr bwMode="auto">
            <a:xfrm>
              <a:off x="6557951" y="4333875"/>
              <a:ext cx="973138" cy="10134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Arguments supplémentaires, séparés par des points-virgules (;).</a:t>
              </a:r>
            </a:p>
          </xdr:txBody>
        </xdr:sp>
      </xdr:grpSp>
    </xdr:grpSp>
    <xdr:clientData/>
  </xdr:twoCellAnchor>
  <xdr:twoCellAnchor>
    <xdr:from>
      <xdr:col>0</xdr:col>
      <xdr:colOff>547558</xdr:colOff>
      <xdr:row>50</xdr:row>
      <xdr:rowOff>85726</xdr:rowOff>
    </xdr:from>
    <xdr:to>
      <xdr:col>1</xdr:col>
      <xdr:colOff>5048250</xdr:colOff>
      <xdr:row>54</xdr:row>
      <xdr:rowOff>15240</xdr:rowOff>
    </xdr:to>
    <xdr:sp macro="" textlink="">
      <xdr:nvSpPr>
        <xdr:cNvPr id="215" name="txt_Step" descr="If the SUM function could talk, it would say, return the sum of all the values in cells D38 to D41, and all of column H. Now, let's try one that doesn't require any arguments.&#10;">
          <a:extLst>
            <a:ext uri="{FF2B5EF4-FFF2-40B4-BE49-F238E27FC236}">
              <a16:creationId xmlns:a16="http://schemas.microsoft.com/office/drawing/2014/main" id="{22A1C554-76ED-4E49-A496-849BD442214B}"/>
            </a:ext>
          </a:extLst>
        </xdr:cNvPr>
        <xdr:cNvSpPr txBox="1"/>
      </xdr:nvSpPr>
      <xdr:spPr>
        <a:xfrm>
          <a:off x="547558" y="10182226"/>
          <a:ext cx="5369372" cy="6915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Si la fonction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pouvait parler, elle dirait : « Renvoie la somme de toutes les valeurs des cellules D38 à D41, et de toutes les colonnes H ».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Maintenant, essayons-en unE qui ne nécessite aucun argument. </a:t>
          </a:r>
        </a:p>
      </xdr:txBody>
    </xdr:sp>
    <xdr:clientData/>
  </xdr:twoCellAnchor>
  <xdr:twoCellAnchor>
    <xdr:from>
      <xdr:col>1</xdr:col>
      <xdr:colOff>612602</xdr:colOff>
      <xdr:row>55</xdr:row>
      <xdr:rowOff>76200</xdr:rowOff>
    </xdr:from>
    <xdr:to>
      <xdr:col>1</xdr:col>
      <xdr:colOff>4632959</xdr:colOff>
      <xdr:row>62</xdr:row>
      <xdr:rowOff>131173</xdr:rowOff>
    </xdr:to>
    <xdr:grpSp>
      <xdr:nvGrpSpPr>
        <xdr:cNvPr id="3" name="Group 2">
          <a:extLst>
            <a:ext uri="{FF2B5EF4-FFF2-40B4-BE49-F238E27FC236}">
              <a16:creationId xmlns:a16="http://schemas.microsoft.com/office/drawing/2014/main" id="{A1A853C7-B6EC-45D3-A4D6-9D928865ED9B}"/>
            </a:ext>
          </a:extLst>
        </xdr:cNvPr>
        <xdr:cNvGrpSpPr/>
      </xdr:nvGrpSpPr>
      <xdr:grpSpPr>
        <a:xfrm>
          <a:off x="1481282" y="11125200"/>
          <a:ext cx="4020357" cy="1388473"/>
          <a:chOff x="1736553" y="11125200"/>
          <a:chExt cx="2971800" cy="1388473"/>
        </a:xfrm>
      </xdr:grpSpPr>
      <xdr:sp macro="" textlink="">
        <xdr:nvSpPr>
          <xdr:cNvPr id="216" name="FormulaBraceUpper">
            <a:extLst>
              <a:ext uri="{FF2B5EF4-FFF2-40B4-BE49-F238E27FC236}">
                <a16:creationId xmlns:a16="http://schemas.microsoft.com/office/drawing/2014/main" id="{47A65F16-B2A6-46A3-B669-E6D2D5A6ECEB}"/>
              </a:ext>
            </a:extLst>
          </xdr:cNvPr>
          <xdr:cNvSpPr/>
        </xdr:nvSpPr>
        <xdr:spPr>
          <a:xfrm rot="5400000">
            <a:off x="2972815" y="11252314"/>
            <a:ext cx="499277" cy="106420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7" name="txt_Formula" descr="=TODAY()">
            <a:extLst>
              <a:ext uri="{FF2B5EF4-FFF2-40B4-BE49-F238E27FC236}">
                <a16:creationId xmlns:a16="http://schemas.microsoft.com/office/drawing/2014/main" id="{22DC5E2D-9AE9-4EFE-B800-9356D8B70BA7}"/>
              </a:ext>
            </a:extLst>
          </xdr:cNvPr>
          <xdr:cNvSpPr txBox="1"/>
        </xdr:nvSpPr>
        <xdr:spPr>
          <a:xfrm>
            <a:off x="2560450" y="11982451"/>
            <a:ext cx="1821613"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=AUJOURDHUI()</a:t>
            </a:r>
            <a:endParaRPr lang="en-US" sz="2000">
              <a:effectLst/>
              <a:latin typeface="Times New Roman" panose="02020603050405020304" pitchFamily="18" charset="0"/>
              <a:ea typeface="Times New Roman" panose="02020603050405020304" pitchFamily="18" charset="0"/>
            </a:endParaRPr>
          </a:p>
        </xdr:txBody>
      </xdr:sp>
      <xdr:sp macro="" textlink="">
        <xdr:nvSpPr>
          <xdr:cNvPr id="218" name="txt_FormulaCalloutUpper" descr="The TODAY function returns today's date. It will automatically update when Excel recalculates.&#10;&#10;">
            <a:extLst>
              <a:ext uri="{FF2B5EF4-FFF2-40B4-BE49-F238E27FC236}">
                <a16:creationId xmlns:a16="http://schemas.microsoft.com/office/drawing/2014/main" id="{52549E0D-FD3F-475B-B881-0D180B27FDC0}"/>
              </a:ext>
            </a:extLst>
          </xdr:cNvPr>
          <xdr:cNvSpPr txBox="1">
            <a:spLocks noChangeArrowheads="1"/>
          </xdr:cNvSpPr>
        </xdr:nvSpPr>
        <xdr:spPr bwMode="auto">
          <a:xfrm>
            <a:off x="1736553" y="11125200"/>
            <a:ext cx="2971800" cy="586739"/>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La fonction </a:t>
            </a:r>
            <a:r>
              <a:rPr lang="en-US" sz="1100" b="1">
                <a:effectLst/>
                <a:latin typeface="Calibri" panose="020F0502020204030204" pitchFamily="34" charset="0"/>
                <a:ea typeface="Calibri" panose="020F0502020204030204" pitchFamily="34" charset="0"/>
                <a:cs typeface="Times New Roman" panose="02020603050405020304" pitchFamily="18" charset="0"/>
              </a:rPr>
              <a:t>AUJOURDHUI</a:t>
            </a:r>
            <a:r>
              <a:rPr lang="en-US" sz="1100">
                <a:effectLst/>
                <a:latin typeface="Calibri" panose="020F0502020204030204" pitchFamily="34" charset="0"/>
                <a:ea typeface="Calibri" panose="020F0502020204030204" pitchFamily="34" charset="0"/>
                <a:cs typeface="Times New Roman" panose="02020603050405020304" pitchFamily="18" charset="0"/>
              </a:rPr>
              <a:t> renvoie la date du jour. Il sera automatiquement mis à jour lorsqu’Excel recalculera. </a:t>
            </a:r>
            <a:br>
              <a:rPr lang="en-US" sz="1100">
                <a:effectLst/>
                <a:latin typeface="Calibri" panose="020F0502020204030204" pitchFamily="34" charset="0"/>
                <a:ea typeface="Calibri" panose="020F0502020204030204" pitchFamily="34" charset="0"/>
                <a:cs typeface="Times New Roman" panose="02020603050405020304" pitchFamily="18" charset="0"/>
              </a:rPr>
            </a:b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0</xdr:col>
      <xdr:colOff>342900</xdr:colOff>
      <xdr:row>0</xdr:row>
      <xdr:rowOff>451493</xdr:rowOff>
    </xdr:from>
    <xdr:to>
      <xdr:col>1</xdr:col>
      <xdr:colOff>5577840</xdr:colOff>
      <xdr:row>22</xdr:row>
      <xdr:rowOff>111266</xdr:rowOff>
    </xdr:to>
    <xdr:grpSp>
      <xdr:nvGrpSpPr>
        <xdr:cNvPr id="232" name="Group 231">
          <a:extLst>
            <a:ext uri="{FF2B5EF4-FFF2-40B4-BE49-F238E27FC236}">
              <a16:creationId xmlns:a16="http://schemas.microsoft.com/office/drawing/2014/main" id="{7A4FA281-7222-4655-A76E-27AE33A3FF1C}"/>
            </a:ext>
          </a:extLst>
        </xdr:cNvPr>
        <xdr:cNvGrpSpPr/>
      </xdr:nvGrpSpPr>
      <xdr:grpSpPr>
        <a:xfrm>
          <a:off x="342900" y="451493"/>
          <a:ext cx="6103620" cy="4422273"/>
          <a:chOff x="323850" y="371474"/>
          <a:chExt cx="5734050" cy="4251800"/>
        </a:xfrm>
      </xdr:grpSpPr>
      <xdr:sp macro="" textlink="">
        <xdr:nvSpPr>
          <xdr:cNvPr id="233" name="txt_TourBackground" descr="Background">
            <a:extLst>
              <a:ext uri="{FF2B5EF4-FFF2-40B4-BE49-F238E27FC236}">
                <a16:creationId xmlns:a16="http://schemas.microsoft.com/office/drawing/2014/main" id="{2E503384-DBF5-4D47-BF12-EEAC0918D4AA}"/>
              </a:ext>
            </a:extLst>
          </xdr:cNvPr>
          <xdr:cNvSpPr/>
        </xdr:nvSpPr>
        <xdr:spPr>
          <a:xfrm>
            <a:off x="323850" y="422749"/>
            <a:ext cx="5734050" cy="42005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34" name="txt_TourHeader" descr="Introduction to functions">
            <a:extLst>
              <a:ext uri="{FF2B5EF4-FFF2-40B4-BE49-F238E27FC236}">
                <a16:creationId xmlns:a16="http://schemas.microsoft.com/office/drawing/2014/main" id="{7D4667CC-B735-408F-A1E4-6FA13B1FB7FB}"/>
              </a:ext>
            </a:extLst>
          </xdr:cNvPr>
          <xdr:cNvSpPr txBox="1"/>
        </xdr:nvSpPr>
        <xdr:spPr>
          <a:xfrm>
            <a:off x="536578" y="371474"/>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Introduction aux fonctions</a:t>
            </a:r>
          </a:p>
        </xdr:txBody>
      </xdr:sp>
      <xdr:cxnSp macro="">
        <xdr:nvCxnSpPr>
          <xdr:cNvPr id="235" name="txt_TourLine1" descr="Decorative line">
            <a:extLst>
              <a:ext uri="{FF2B5EF4-FFF2-40B4-BE49-F238E27FC236}">
                <a16:creationId xmlns:a16="http://schemas.microsoft.com/office/drawing/2014/main" id="{B2C34DDE-3E39-4FB3-B22B-EE9DE303EF82}"/>
              </a:ext>
            </a:extLst>
          </xdr:cNvPr>
          <xdr:cNvCxnSpPr>
            <a:cxnSpLocks/>
          </xdr:cNvCxnSpPr>
        </xdr:nvCxnSpPr>
        <xdr:spPr>
          <a:xfrm>
            <a:off x="536578" y="89718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36" name="txt_TourLine2" descr="Decorative line">
            <a:extLst>
              <a:ext uri="{FF2B5EF4-FFF2-40B4-BE49-F238E27FC236}">
                <a16:creationId xmlns:a16="http://schemas.microsoft.com/office/drawing/2014/main" id="{EEEF91CB-D253-4B04-B06F-EF082C03A170}"/>
              </a:ext>
            </a:extLst>
          </xdr:cNvPr>
          <xdr:cNvCxnSpPr>
            <a:cxnSpLocks/>
          </xdr:cNvCxnSpPr>
        </xdr:nvCxnSpPr>
        <xdr:spPr>
          <a:xfrm>
            <a:off x="536578" y="36978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37" name="txt_TourIntro" descr="Functions give you the ability to do a variety of things, like perform mathematical operations, look up values, or even calculate dates and times. Let's try a few ways to add up values with the SUM function.&#10;">
            <a:extLst>
              <a:ext uri="{FF2B5EF4-FFF2-40B4-BE49-F238E27FC236}">
                <a16:creationId xmlns:a16="http://schemas.microsoft.com/office/drawing/2014/main" id="{D14E5F97-98FC-4309-B1F6-64DC7B7C29DE}"/>
              </a:ext>
            </a:extLst>
          </xdr:cNvPr>
          <xdr:cNvSpPr txBox="1"/>
        </xdr:nvSpPr>
        <xdr:spPr>
          <a:xfrm>
            <a:off x="535496" y="881150"/>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Les fonctions vous donnent la possibilité d’effectuer diverses choses, comme effectuer des opérations mathématiques, rechercher des valeurs ou même calculer des dates et des heures. Essayons plusieurs façons d’additionner des valeurs avec la fonction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SOMME.</a:t>
            </a:r>
          </a:p>
          <a:p>
            <a:pPr marL="0" marR="0" lvl="0" indent="0" defTabSz="914400" eaLnBrk="1" fontAlgn="auto" latinLnBrk="0" hangingPunct="1">
              <a:lnSpc>
                <a:spcPct val="100000"/>
              </a:lnSpc>
              <a:spcBef>
                <a:spcPts val="0"/>
              </a:spcBef>
              <a:spcAft>
                <a:spcPts val="0"/>
              </a:spcAft>
              <a:buClrTx/>
              <a:buSzTx/>
              <a:buFontTx/>
              <a:buNone/>
              <a:tabLst/>
              <a:defRPr/>
            </a:pPr>
            <a:b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b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nvGrpSpPr>
          <xdr:cNvPr id="238" name="grp_Step">
            <a:extLst>
              <a:ext uri="{FF2B5EF4-FFF2-40B4-BE49-F238E27FC236}">
                <a16:creationId xmlns:a16="http://schemas.microsoft.com/office/drawing/2014/main" id="{B0D2ED24-6683-4531-B8F5-0F2F4933BA4A}"/>
              </a:ext>
            </a:extLst>
          </xdr:cNvPr>
          <xdr:cNvGrpSpPr/>
        </xdr:nvGrpSpPr>
        <xdr:grpSpPr>
          <a:xfrm>
            <a:off x="356801" y="1434094"/>
            <a:ext cx="5622531" cy="767105"/>
            <a:chOff x="424684" y="7606294"/>
            <a:chExt cx="5586053" cy="767105"/>
          </a:xfrm>
        </xdr:grpSpPr>
        <xdr:sp macro="" textlink="">
          <xdr:nvSpPr>
            <xdr:cNvPr id="247" name="txt_Step" descr="Under the Amount column for Fruit (cell D7), enter =SUM(D3:D6), or type =SUM(, then select that range with the mouse, and press Enter. This will sum the values in cells D3, D4, D5, and D6. Your answer should be 170.&#10;&#10;&#10;&#10;">
              <a:extLst>
                <a:ext uri="{FF2B5EF4-FFF2-40B4-BE49-F238E27FC236}">
                  <a16:creationId xmlns:a16="http://schemas.microsoft.com/office/drawing/2014/main" id="{810A5AB8-1BE7-4AA1-A49C-BD6D215DAFA4}"/>
                </a:ext>
              </a:extLst>
            </xdr:cNvPr>
            <xdr:cNvSpPr txBox="1"/>
          </xdr:nvSpPr>
          <xdr:spPr>
            <a:xfrm>
              <a:off x="824572" y="7606294"/>
              <a:ext cx="5186165" cy="7671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Dans la colonne Quantité pour les fruits (cellule D7), entrez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=SOMME(D3 :D6)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ou tapez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puis sélectionnez cette plage avec la souris et appuyez sur Entrée. Cela additionnera les valeurs des cellules D3, D4, D5 et D6. Votre réponse devrait être 170.</a:t>
              </a:r>
            </a:p>
          </xdr:txBody>
        </xdr:sp>
        <xdr:sp macro="" textlink="">
          <xdr:nvSpPr>
            <xdr:cNvPr id="248" name="shp_Step" descr="1">
              <a:extLst>
                <a:ext uri="{FF2B5EF4-FFF2-40B4-BE49-F238E27FC236}">
                  <a16:creationId xmlns:a16="http://schemas.microsoft.com/office/drawing/2014/main" id="{F2FD6D3D-CB42-4E79-8228-3477BE73DC88}"/>
                </a:ext>
              </a:extLst>
            </xdr:cNvPr>
            <xdr:cNvSpPr/>
          </xdr:nvSpPr>
          <xdr:spPr>
            <a:xfrm>
              <a:off x="424684" y="7715258"/>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239" name="grp_Step">
            <a:extLst>
              <a:ext uri="{FF2B5EF4-FFF2-40B4-BE49-F238E27FC236}">
                <a16:creationId xmlns:a16="http://schemas.microsoft.com/office/drawing/2014/main" id="{D760DDB7-6B91-4E00-B2BE-F1BD6817C42A}"/>
              </a:ext>
            </a:extLst>
          </xdr:cNvPr>
          <xdr:cNvGrpSpPr/>
        </xdr:nvGrpSpPr>
        <xdr:grpSpPr>
          <a:xfrm>
            <a:off x="363960" y="2135642"/>
            <a:ext cx="5370434" cy="937382"/>
            <a:chOff x="431796" y="7769679"/>
            <a:chExt cx="5335590" cy="937382"/>
          </a:xfrm>
        </xdr:grpSpPr>
        <xdr:sp macro="" textlink="">
          <xdr:nvSpPr>
            <xdr:cNvPr id="245" name="txt_Step" descr="Now let's try AutoSum. Select the yellow cell under the column for Meat (cell G7), then go to Formulas &gt; AutoSum &gt; select SUM. You'll see Excel automatically enter the formula for you. Press Enter to confirm it. The AutoSum feature has all of the most common functions.&#10;&#10;">
              <a:extLst>
                <a:ext uri="{FF2B5EF4-FFF2-40B4-BE49-F238E27FC236}">
                  <a16:creationId xmlns:a16="http://schemas.microsoft.com/office/drawing/2014/main" id="{C6CA8983-E35C-4984-9B4D-732042B193D4}"/>
                </a:ext>
              </a:extLst>
            </xdr:cNvPr>
            <xdr:cNvSpPr txBox="1"/>
          </xdr:nvSpPr>
          <xdr:spPr>
            <a:xfrm>
              <a:off x="797340" y="7769679"/>
              <a:ext cx="4970046" cy="937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Essayons maintenant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Somme automatique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Sélectionnez la cellule jaune sous la colonne Viande (cellule G7), puis accédez à Formules &gt;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Somme automatique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&gt; sélectionnez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Vous verrez Excel entrer automatiquement la formule pour vous. Appuyez sur Entrée pour le confirmer. La fonction Somme automatique possède toutes les fonctions les plus courantes.</a:t>
              </a:r>
            </a:p>
            <a:p>
              <a:pPr marL="0" marR="0" lvl="0" indent="0" defTabSz="914400" eaLnBrk="1" fontAlgn="auto" latinLnBrk="0" hangingPunct="1">
                <a:lnSpc>
                  <a:spcPct val="100000"/>
                </a:lnSpc>
                <a:spcBef>
                  <a:spcPts val="0"/>
                </a:spcBef>
                <a:spcAft>
                  <a:spcPts val="0"/>
                </a:spcAft>
                <a:buClrTx/>
                <a:buSzTx/>
                <a:buFontTx/>
                <a:buNone/>
                <a:tabLst/>
                <a:defRPr/>
              </a:pPr>
              <a:b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b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46" name="shp_Step" descr="2">
              <a:extLst>
                <a:ext uri="{FF2B5EF4-FFF2-40B4-BE49-F238E27FC236}">
                  <a16:creationId xmlns:a16="http://schemas.microsoft.com/office/drawing/2014/main" id="{09967B0C-29E8-4781-A6FA-F5CB00C8AEBC}"/>
                </a:ext>
              </a:extLst>
            </xdr:cNvPr>
            <xdr:cNvSpPr/>
          </xdr:nvSpPr>
          <xdr:spPr>
            <a:xfrm>
              <a:off x="431796" y="7984139"/>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240" name="Group 239">
            <a:extLst>
              <a:ext uri="{FF2B5EF4-FFF2-40B4-BE49-F238E27FC236}">
                <a16:creationId xmlns:a16="http://schemas.microsoft.com/office/drawing/2014/main" id="{DCC331A5-B81B-407D-A604-3A6691EE3721}"/>
              </a:ext>
            </a:extLst>
          </xdr:cNvPr>
          <xdr:cNvGrpSpPr/>
        </xdr:nvGrpSpPr>
        <xdr:grpSpPr>
          <a:xfrm>
            <a:off x="356801" y="3048008"/>
            <a:ext cx="5421118" cy="684379"/>
            <a:chOff x="375851" y="2857508"/>
            <a:chExt cx="5421118" cy="684379"/>
          </a:xfrm>
        </xdr:grpSpPr>
        <xdr:sp macro="" textlink="">
          <xdr:nvSpPr>
            <xdr:cNvPr id="241" name="3" descr="3">
              <a:extLst>
                <a:ext uri="{FF2B5EF4-FFF2-40B4-BE49-F238E27FC236}">
                  <a16:creationId xmlns:a16="http://schemas.microsoft.com/office/drawing/2014/main" id="{B6363DB9-6EAE-4572-B5B1-7CAA749E8425}"/>
                </a:ext>
              </a:extLst>
            </xdr:cNvPr>
            <xdr:cNvSpPr/>
          </xdr:nvSpPr>
          <xdr:spPr>
            <a:xfrm>
              <a:off x="375851" y="2857508"/>
              <a:ext cx="371587" cy="367758"/>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sp macro="" textlink="">
          <xdr:nvSpPr>
            <xdr:cNvPr id="242" name="Step" descr="Here's a neat keyboard shortcut. Select cell D15, then press Alt = then, Enter. This automatically enters SUM for you.&#10;">
              <a:extLst>
                <a:ext uri="{FF2B5EF4-FFF2-40B4-BE49-F238E27FC236}">
                  <a16:creationId xmlns:a16="http://schemas.microsoft.com/office/drawing/2014/main" id="{560D1E18-37A7-48F2-AA0C-0AF6088AF0AB}"/>
                </a:ext>
              </a:extLst>
            </xdr:cNvPr>
            <xdr:cNvSpPr txBox="1"/>
          </xdr:nvSpPr>
          <xdr:spPr>
            <a:xfrm>
              <a:off x="794705" y="2895673"/>
              <a:ext cx="5002264" cy="6462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Voici un raccourci clavier astucieux. Sélectionnez la cellule D15, puis appuyez ensuite,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Entrée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Cette opération saisit automatiquement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pour vous.</a:t>
              </a:r>
            </a:p>
          </xdr:txBody>
        </xdr:sp>
        <xdr:sp macro="" textlink="">
          <xdr:nvSpPr>
            <xdr:cNvPr id="243" name="Equals key" descr="Equals key">
              <a:extLst>
                <a:ext uri="{FF2B5EF4-FFF2-40B4-BE49-F238E27FC236}">
                  <a16:creationId xmlns:a16="http://schemas.microsoft.com/office/drawing/2014/main" id="{CF33041B-BB98-41EE-BDDE-38D58DF9865E}"/>
                </a:ext>
              </a:extLst>
            </xdr:cNvPr>
            <xdr:cNvSpPr/>
          </xdr:nvSpPr>
          <xdr:spPr>
            <a:xfrm>
              <a:off x="1851119" y="3139473"/>
              <a:ext cx="422585" cy="160648"/>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000">
                  <a:solidFill>
                    <a:schemeClr val="tx1"/>
                  </a:solidFill>
                </a:rPr>
                <a:t>=</a:t>
              </a:r>
              <a:endParaRPr lang="en-US" sz="900">
                <a:solidFill>
                  <a:schemeClr val="tx1"/>
                </a:solidFill>
              </a:endParaRPr>
            </a:p>
          </xdr:txBody>
        </xdr:sp>
        <xdr:sp macro="" textlink="">
          <xdr:nvSpPr>
            <xdr:cNvPr id="244" name="Alt key" descr="Alt key">
              <a:extLst>
                <a:ext uri="{FF2B5EF4-FFF2-40B4-BE49-F238E27FC236}">
                  <a16:creationId xmlns:a16="http://schemas.microsoft.com/office/drawing/2014/main" id="{0BFE17A4-7B91-43C3-90BB-12A4D5132A91}"/>
                </a:ext>
              </a:extLst>
            </xdr:cNvPr>
            <xdr:cNvSpPr/>
          </xdr:nvSpPr>
          <xdr:spPr>
            <a:xfrm>
              <a:off x="1359304" y="3139473"/>
              <a:ext cx="422585" cy="160648"/>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spc="100" baseline="0">
                  <a:solidFill>
                    <a:schemeClr val="tx1"/>
                  </a:solidFill>
                </a:rPr>
                <a:t>Alt</a:t>
              </a:r>
              <a:endParaRPr lang="en-US" sz="800" spc="100" baseline="0">
                <a:solidFill>
                  <a:schemeClr val="tx1"/>
                </a:solidFill>
              </a:endParaRPr>
            </a:p>
          </xdr:txBody>
        </xdr:sp>
      </xdr:grpSp>
    </xdr:grpSp>
    <xdr:clientData/>
  </xdr:twoCellAnchor>
  <xdr:twoCellAnchor>
    <xdr:from>
      <xdr:col>0</xdr:col>
      <xdr:colOff>647700</xdr:colOff>
      <xdr:row>18</xdr:row>
      <xdr:rowOff>85726</xdr:rowOff>
    </xdr:from>
    <xdr:to>
      <xdr:col>1</xdr:col>
      <xdr:colOff>2523042</xdr:colOff>
      <xdr:row>21</xdr:row>
      <xdr:rowOff>45150</xdr:rowOff>
    </xdr:to>
    <xdr:sp macro="" textlink="">
      <xdr:nvSpPr>
        <xdr:cNvPr id="249" name="More detail button" descr="Dive down for more detail">
          <a:hlinkClick xmlns:r="http://schemas.openxmlformats.org/officeDocument/2006/relationships" r:id="rId16"/>
          <a:extLst>
            <a:ext uri="{FF2B5EF4-FFF2-40B4-BE49-F238E27FC236}">
              <a16:creationId xmlns:a16="http://schemas.microsoft.com/office/drawing/2014/main" id="{6AB3AC76-DD69-410E-A89A-4CD74A6C6C64}"/>
            </a:ext>
          </a:extLst>
        </xdr:cNvPr>
        <xdr:cNvSpPr/>
      </xdr:nvSpPr>
      <xdr:spPr>
        <a:xfrm>
          <a:off x="647700" y="4086226"/>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Descendez pour plus de détails</a:t>
          </a:r>
        </a:p>
      </xdr:txBody>
    </xdr:sp>
    <xdr:clientData/>
  </xdr:twoCellAnchor>
  <xdr:twoCellAnchor>
    <xdr:from>
      <xdr:col>1</xdr:col>
      <xdr:colOff>3611880</xdr:colOff>
      <xdr:row>18</xdr:row>
      <xdr:rowOff>85726</xdr:rowOff>
    </xdr:from>
    <xdr:to>
      <xdr:col>1</xdr:col>
      <xdr:colOff>5013351</xdr:colOff>
      <xdr:row>20</xdr:row>
      <xdr:rowOff>49625</xdr:rowOff>
    </xdr:to>
    <xdr:sp macro="" textlink="">
      <xdr:nvSpPr>
        <xdr:cNvPr id="250" name="Next Button" descr="Next step button, hyperlinked to next sheet">
          <a:hlinkClick xmlns:r="http://schemas.openxmlformats.org/officeDocument/2006/relationships" r:id="rId2" tooltip="Click here to advance to the next worksheet"/>
          <a:extLst>
            <a:ext uri="{FF2B5EF4-FFF2-40B4-BE49-F238E27FC236}">
              <a16:creationId xmlns:a16="http://schemas.microsoft.com/office/drawing/2014/main" id="{08AAD723-1A75-444B-BF90-661FB4EE2F13}"/>
            </a:ext>
          </a:extLst>
        </xdr:cNvPr>
        <xdr:cNvSpPr/>
      </xdr:nvSpPr>
      <xdr:spPr>
        <a:xfrm>
          <a:off x="4480560" y="4086226"/>
          <a:ext cx="1401471" cy="3448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Étape suivante</a:t>
          </a:r>
        </a:p>
      </xdr:txBody>
    </xdr:sp>
    <xdr:clientData/>
  </xdr:twoCellAnchor>
  <xdr:twoCellAnchor editAs="oneCell">
    <xdr:from>
      <xdr:col>1</xdr:col>
      <xdr:colOff>1056125</xdr:colOff>
      <xdr:row>35</xdr:row>
      <xdr:rowOff>53341</xdr:rowOff>
    </xdr:from>
    <xdr:to>
      <xdr:col>1</xdr:col>
      <xdr:colOff>3093720</xdr:colOff>
      <xdr:row>38</xdr:row>
      <xdr:rowOff>131185</xdr:rowOff>
    </xdr:to>
    <xdr:pic>
      <xdr:nvPicPr>
        <xdr:cNvPr id="5" name="Image 4">
          <a:extLst>
            <a:ext uri="{FF2B5EF4-FFF2-40B4-BE49-F238E27FC236}">
              <a16:creationId xmlns:a16="http://schemas.microsoft.com/office/drawing/2014/main" id="{9F6FEBD0-07B6-3371-8ADC-659AF3CE2EEF}"/>
            </a:ext>
          </a:extLst>
        </xdr:cNvPr>
        <xdr:cNvPicPr>
          <a:picLocks noChangeAspect="1"/>
        </xdr:cNvPicPr>
      </xdr:nvPicPr>
      <xdr:blipFill>
        <a:blip xmlns:r="http://schemas.openxmlformats.org/officeDocument/2006/relationships" r:embed="rId17"/>
        <a:stretch>
          <a:fillRect/>
        </a:stretch>
      </xdr:blipFill>
      <xdr:spPr>
        <a:xfrm>
          <a:off x="1924805" y="7292341"/>
          <a:ext cx="2037595" cy="64934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666752</xdr:colOff>
      <xdr:row>15</xdr:row>
      <xdr:rowOff>9525</xdr:rowOff>
    </xdr:from>
    <xdr:to>
      <xdr:col>9</xdr:col>
      <xdr:colOff>495300</xdr:colOff>
      <xdr:row>25</xdr:row>
      <xdr:rowOff>38100</xdr:rowOff>
    </xdr:to>
    <xdr:grpSp>
      <xdr:nvGrpSpPr>
        <xdr:cNvPr id="50" name="Group 49" descr="EXTRA CREDIT&#10;Try adding another SUMIF formula here, but add amounts that are less than 100. The result should be 160&#10;">
          <a:extLst>
            <a:ext uri="{FF2B5EF4-FFF2-40B4-BE49-F238E27FC236}">
              <a16:creationId xmlns:a16="http://schemas.microsoft.com/office/drawing/2014/main" id="{43A9A155-5F39-462E-9668-46F47F332723}"/>
            </a:ext>
          </a:extLst>
        </xdr:cNvPr>
        <xdr:cNvGrpSpPr/>
      </xdr:nvGrpSpPr>
      <xdr:grpSpPr>
        <a:xfrm>
          <a:off x="9208772" y="3438525"/>
          <a:ext cx="2876548" cy="1933575"/>
          <a:chOff x="9048750" y="3743325"/>
          <a:chExt cx="2909468" cy="1390649"/>
        </a:xfrm>
      </xdr:grpSpPr>
      <xdr:sp macro="" textlink="">
        <xdr:nvSpPr>
          <xdr:cNvPr id="51" name="Step" descr="EXTRA CREDIT&#10;Try adding your own AVERAGE or COUNT function here by typing it by hand. If you look closely, you'll see Excel's intellisense try to help you.&#10;">
            <a:extLst>
              <a:ext uri="{FF2B5EF4-FFF2-40B4-BE49-F238E27FC236}">
                <a16:creationId xmlns:a16="http://schemas.microsoft.com/office/drawing/2014/main" id="{C7598491-5930-49C3-AC46-AC4F3207CA92}"/>
              </a:ext>
            </a:extLst>
          </xdr:cNvPr>
          <xdr:cNvSpPr txBox="1"/>
        </xdr:nvSpPr>
        <xdr:spPr>
          <a:xfrm>
            <a:off x="9648642" y="3905249"/>
            <a:ext cx="2309576" cy="1228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panose="020B0502040204020203" pitchFamily="34" charset="0"/>
              </a:rPr>
              <a:t>AVANTAGE SUPPLÉMENTAIRE</a:t>
            </a:r>
          </a:p>
          <a:p>
            <a:pPr lvl="0">
              <a:defRPr/>
            </a:pPr>
            <a:r>
              <a:rPr lang="en-US" sz="1200"/>
              <a:t>Essaye</a:t>
            </a:r>
            <a:r>
              <a:rPr lang="en-US" sz="1200" baseline="0"/>
              <a:t> d'utiliser </a:t>
            </a:r>
            <a:r>
              <a:rPr lang="en-US" sz="1200" b="1" baseline="0"/>
              <a:t>MOYENNE</a:t>
            </a:r>
            <a:r>
              <a:rPr lang="en-US" sz="1200" baseline="0"/>
              <a:t> ou </a:t>
            </a:r>
            <a:r>
              <a:rPr lang="en-US" sz="1200" b="1" baseline="0"/>
              <a:t>MODE</a:t>
            </a:r>
            <a:r>
              <a:rPr lang="en-US" sz="1200" baseline="0"/>
              <a:t> ici</a:t>
            </a:r>
            <a:r>
              <a:rPr lang="en-US" sz="1200"/>
              <a:t>.</a:t>
            </a:r>
            <a:r>
              <a:rPr lang="en-US" sz="1200" baseline="0"/>
              <a:t> </a:t>
            </a:r>
          </a:p>
          <a:p>
            <a:pPr lvl="0">
              <a:defRPr/>
            </a:pPr>
            <a:endParaRPr lang="en-US" sz="1200" baseline="0"/>
          </a:p>
          <a:p>
            <a:pPr lvl="0">
              <a:defRPr/>
            </a:pPr>
            <a:r>
              <a:rPr lang="en-US" sz="1200" b="1" baseline="0"/>
              <a:t>MOYENNE</a:t>
            </a:r>
            <a:r>
              <a:rPr lang="en-US" sz="1200" b="0" baseline="0"/>
              <a:t> vous donne la valeur au milieu de l’ensemble de données, tandis que </a:t>
            </a:r>
          </a:p>
          <a:p>
            <a:pPr lvl="0">
              <a:defRPr/>
            </a:pPr>
            <a:r>
              <a:rPr lang="en-US" sz="1200" b="1" baseline="0"/>
              <a:t>MODE </a:t>
            </a:r>
            <a:r>
              <a:rPr lang="en-US" sz="1200" b="0" baseline="0"/>
              <a:t>donne celui qui se produit le plus fréquemment.</a:t>
            </a:r>
            <a:endParaRPr lang="en-US" sz="1200" b="0"/>
          </a:p>
        </xdr:txBody>
      </xdr:sp>
      <xdr:pic>
        <xdr:nvPicPr>
          <xdr:cNvPr id="52" name="Extra credit ribbon" descr="Decorative ribbon">
            <a:extLst>
              <a:ext uri="{FF2B5EF4-FFF2-40B4-BE49-F238E27FC236}">
                <a16:creationId xmlns:a16="http://schemas.microsoft.com/office/drawing/2014/main" id="{63D71461-4F6F-45F1-9548-9DA4EB80A92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287099" y="3950551"/>
            <a:ext cx="474289" cy="439736"/>
          </a:xfrm>
          <a:prstGeom prst="rect">
            <a:avLst/>
          </a:prstGeom>
        </xdr:spPr>
      </xdr:pic>
      <xdr:sp macro="" textlink="">
        <xdr:nvSpPr>
          <xdr:cNvPr id="53" name="Extra Credit Arrow" descr="Arrow">
            <a:extLst>
              <a:ext uri="{FF2B5EF4-FFF2-40B4-BE49-F238E27FC236}">
                <a16:creationId xmlns:a16="http://schemas.microsoft.com/office/drawing/2014/main" id="{76F97E3C-3390-4255-AEB3-F5C8B5C2B97F}"/>
              </a:ext>
            </a:extLst>
          </xdr:cNvPr>
          <xdr:cNvSpPr/>
        </xdr:nvSpPr>
        <xdr:spPr>
          <a:xfrm rot="15682076" flipH="1">
            <a:off x="9021478" y="3770597"/>
            <a:ext cx="462029" cy="407486"/>
          </a:xfrm>
          <a:prstGeom prst="arc">
            <a:avLst>
              <a:gd name="adj1" fmla="val 11397275"/>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0</xdr:col>
      <xdr:colOff>481025</xdr:colOff>
      <xdr:row>13</xdr:row>
      <xdr:rowOff>141556</xdr:rowOff>
    </xdr:from>
    <xdr:to>
      <xdr:col>1</xdr:col>
      <xdr:colOff>779257</xdr:colOff>
      <xdr:row>15</xdr:row>
      <xdr:rowOff>108028</xdr:rowOff>
    </xdr:to>
    <xdr:sp macro="" textlink="">
      <xdr:nvSpPr>
        <xdr:cNvPr id="58"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EE1A025E-E5F5-42C2-A923-F18079A2D0C2}"/>
            </a:ext>
          </a:extLst>
        </xdr:cNvPr>
        <xdr:cNvSpPr/>
      </xdr:nvSpPr>
      <xdr:spPr>
        <a:xfrm flipH="1">
          <a:off x="481025" y="3189556"/>
          <a:ext cx="1145957"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Previous</a:t>
          </a:r>
        </a:p>
      </xdr:txBody>
    </xdr:sp>
    <xdr:clientData/>
  </xdr:twoCellAnchor>
  <xdr:twoCellAnchor>
    <xdr:from>
      <xdr:col>1</xdr:col>
      <xdr:colOff>3662126</xdr:colOff>
      <xdr:row>13</xdr:row>
      <xdr:rowOff>103667</xdr:rowOff>
    </xdr:from>
    <xdr:to>
      <xdr:col>1</xdr:col>
      <xdr:colOff>4794925</xdr:colOff>
      <xdr:row>15</xdr:row>
      <xdr:rowOff>70139</xdr:rowOff>
    </xdr:to>
    <xdr:sp macro="" textlink="">
      <xdr:nvSpPr>
        <xdr:cNvPr id="59" name="NextButton" descr="Advance to the next sheet">
          <a:hlinkClick xmlns:r="http://schemas.openxmlformats.org/officeDocument/2006/relationships" r:id="rId4" tooltip="Click here to advance to the next worksheet"/>
          <a:extLst>
            <a:ext uri="{FF2B5EF4-FFF2-40B4-BE49-F238E27FC236}">
              <a16:creationId xmlns:a16="http://schemas.microsoft.com/office/drawing/2014/main" id="{B719355D-8104-483A-8DA4-D2E87460A898}"/>
            </a:ext>
          </a:extLst>
        </xdr:cNvPr>
        <xdr:cNvSpPr/>
      </xdr:nvSpPr>
      <xdr:spPr>
        <a:xfrm>
          <a:off x="4509851" y="3151667"/>
          <a:ext cx="1132799" cy="347472"/>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xdr:twoCellAnchor>
  <xdr:twoCellAnchor>
    <xdr:from>
      <xdr:col>0</xdr:col>
      <xdr:colOff>323850</xdr:colOff>
      <xdr:row>16</xdr:row>
      <xdr:rowOff>161926</xdr:rowOff>
    </xdr:from>
    <xdr:to>
      <xdr:col>1</xdr:col>
      <xdr:colOff>5649917</xdr:colOff>
      <xdr:row>29</xdr:row>
      <xdr:rowOff>85725</xdr:rowOff>
    </xdr:to>
    <xdr:grpSp>
      <xdr:nvGrpSpPr>
        <xdr:cNvPr id="3" name="Group 2">
          <a:extLst>
            <a:ext uri="{FF2B5EF4-FFF2-40B4-BE49-F238E27FC236}">
              <a16:creationId xmlns:a16="http://schemas.microsoft.com/office/drawing/2014/main" id="{34477964-9438-41C6-89D0-AF7334519BC2}"/>
            </a:ext>
          </a:extLst>
        </xdr:cNvPr>
        <xdr:cNvGrpSpPr/>
      </xdr:nvGrpSpPr>
      <xdr:grpSpPr>
        <a:xfrm>
          <a:off x="323850" y="3781426"/>
          <a:ext cx="6194747" cy="2385059"/>
          <a:chOff x="323850" y="3781426"/>
          <a:chExt cx="5695950" cy="2400299"/>
        </a:xfrm>
      </xdr:grpSpPr>
      <xdr:sp macro="" textlink="">
        <xdr:nvSpPr>
          <xdr:cNvPr id="62" name="Rectangle 61">
            <a:extLst>
              <a:ext uri="{FF2B5EF4-FFF2-40B4-BE49-F238E27FC236}">
                <a16:creationId xmlns:a16="http://schemas.microsoft.com/office/drawing/2014/main" id="{7125C27C-4C9D-4FC4-9FD6-9CD3DE78B720}"/>
              </a:ext>
            </a:extLst>
          </xdr:cNvPr>
          <xdr:cNvSpPr/>
        </xdr:nvSpPr>
        <xdr:spPr>
          <a:xfrm>
            <a:off x="323850" y="3781426"/>
            <a:ext cx="5695950" cy="2400299"/>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63" name="Step" descr="More information on the web&#10;">
            <a:extLst>
              <a:ext uri="{FF2B5EF4-FFF2-40B4-BE49-F238E27FC236}">
                <a16:creationId xmlns:a16="http://schemas.microsoft.com/office/drawing/2014/main" id="{0FB0039E-A122-4A42-81FA-0F5978D304F5}"/>
              </a:ext>
            </a:extLst>
          </xdr:cNvPr>
          <xdr:cNvSpPr txBox="1"/>
        </xdr:nvSpPr>
        <xdr:spPr>
          <a:xfrm>
            <a:off x="553932" y="386162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64" name="Straight Connector 63" descr="Decorative line">
            <a:extLst>
              <a:ext uri="{FF2B5EF4-FFF2-40B4-BE49-F238E27FC236}">
                <a16:creationId xmlns:a16="http://schemas.microsoft.com/office/drawing/2014/main" id="{78F5D1BC-989A-47DA-B5D1-2BEA7D8D2D8A}"/>
              </a:ext>
            </a:extLst>
          </xdr:cNvPr>
          <xdr:cNvCxnSpPr>
            <a:cxnSpLocks/>
          </xdr:cNvCxnSpPr>
        </xdr:nvCxnSpPr>
        <xdr:spPr>
          <a:xfrm>
            <a:off x="557084" y="42699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descr="Decorative line">
            <a:extLst>
              <a:ext uri="{FF2B5EF4-FFF2-40B4-BE49-F238E27FC236}">
                <a16:creationId xmlns:a16="http://schemas.microsoft.com/office/drawing/2014/main" id="{92AA8791-8905-41A1-9A28-1540446DB53D}"/>
              </a:ext>
            </a:extLst>
          </xdr:cNvPr>
          <xdr:cNvCxnSpPr>
            <a:cxnSpLocks/>
          </xdr:cNvCxnSpPr>
        </xdr:nvCxnSpPr>
        <xdr:spPr>
          <a:xfrm>
            <a:off x="557084" y="59692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533831</xdr:colOff>
      <xdr:row>19</xdr:row>
      <xdr:rowOff>140419</xdr:rowOff>
    </xdr:from>
    <xdr:to>
      <xdr:col>1</xdr:col>
      <xdr:colOff>2552700</xdr:colOff>
      <xdr:row>21</xdr:row>
      <xdr:rowOff>118498</xdr:rowOff>
    </xdr:to>
    <xdr:grpSp>
      <xdr:nvGrpSpPr>
        <xdr:cNvPr id="4" name="Group 3">
          <a:extLst>
            <a:ext uri="{FF2B5EF4-FFF2-40B4-BE49-F238E27FC236}">
              <a16:creationId xmlns:a16="http://schemas.microsoft.com/office/drawing/2014/main" id="{2A2F1EF0-54C4-4E96-96D9-0F415372CF05}"/>
            </a:ext>
          </a:extLst>
        </xdr:cNvPr>
        <xdr:cNvGrpSpPr/>
      </xdr:nvGrpSpPr>
      <xdr:grpSpPr>
        <a:xfrm>
          <a:off x="533831" y="4331419"/>
          <a:ext cx="2887549" cy="359079"/>
          <a:chOff x="533831" y="4331419"/>
          <a:chExt cx="2866594" cy="359079"/>
        </a:xfrm>
      </xdr:grpSpPr>
      <xdr:sp macro="" textlink="">
        <xdr:nvSpPr>
          <xdr:cNvPr id="66" name="Step" descr="All about the AVERAGE function, Hyperlinked to web&#10;&#10;">
            <a:hlinkClick xmlns:r="http://schemas.openxmlformats.org/officeDocument/2006/relationships" r:id="rId5" tooltip="Select to learn all about the AVERAGE function from the web"/>
            <a:extLst>
              <a:ext uri="{FF2B5EF4-FFF2-40B4-BE49-F238E27FC236}">
                <a16:creationId xmlns:a16="http://schemas.microsoft.com/office/drawing/2014/main" id="{8B6EBA78-A2A3-48B8-B201-71B7C5D097B9}"/>
              </a:ext>
            </a:extLst>
          </xdr:cNvPr>
          <xdr:cNvSpPr txBox="1"/>
        </xdr:nvSpPr>
        <xdr:spPr>
          <a:xfrm>
            <a:off x="999016" y="44057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67" name="Graphic 22" descr="Arrow">
            <a:hlinkClick xmlns:r="http://schemas.openxmlformats.org/officeDocument/2006/relationships" r:id="rId5" tooltip="Select to learn more from the web"/>
            <a:extLst>
              <a:ext uri="{FF2B5EF4-FFF2-40B4-BE49-F238E27FC236}">
                <a16:creationId xmlns:a16="http://schemas.microsoft.com/office/drawing/2014/main" id="{69F15F0C-F8AA-4F17-94DE-8B52CC5E101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331419"/>
            <a:ext cx="492262" cy="359079"/>
          </a:xfrm>
          <a:prstGeom prst="rect">
            <a:avLst/>
          </a:prstGeom>
        </xdr:spPr>
      </xdr:pic>
    </xdr:grpSp>
    <xdr:clientData/>
  </xdr:twoCellAnchor>
  <xdr:twoCellAnchor>
    <xdr:from>
      <xdr:col>0</xdr:col>
      <xdr:colOff>533831</xdr:colOff>
      <xdr:row>21</xdr:row>
      <xdr:rowOff>133860</xdr:rowOff>
    </xdr:from>
    <xdr:to>
      <xdr:col>1</xdr:col>
      <xdr:colOff>2581275</xdr:colOff>
      <xdr:row>23</xdr:row>
      <xdr:rowOff>117249</xdr:rowOff>
    </xdr:to>
    <xdr:grpSp>
      <xdr:nvGrpSpPr>
        <xdr:cNvPr id="5" name="Group 4">
          <a:extLst>
            <a:ext uri="{FF2B5EF4-FFF2-40B4-BE49-F238E27FC236}">
              <a16:creationId xmlns:a16="http://schemas.microsoft.com/office/drawing/2014/main" id="{8070DC97-C65B-4D56-B70E-5A742EA38D3C}"/>
            </a:ext>
          </a:extLst>
        </xdr:cNvPr>
        <xdr:cNvGrpSpPr/>
      </xdr:nvGrpSpPr>
      <xdr:grpSpPr>
        <a:xfrm>
          <a:off x="533831" y="4705860"/>
          <a:ext cx="2916124" cy="364389"/>
          <a:chOff x="533831" y="4705860"/>
          <a:chExt cx="2895169" cy="364389"/>
        </a:xfrm>
      </xdr:grpSpPr>
      <xdr:sp macro="" textlink="">
        <xdr:nvSpPr>
          <xdr:cNvPr id="68" name="Step" descr="All about the COUNT function, hyperlinked to web&#10;">
            <a:hlinkClick xmlns:r="http://schemas.openxmlformats.org/officeDocument/2006/relationships" r:id="rId8" tooltip="Select to learn all about the MEDIAN function on the web"/>
            <a:extLst>
              <a:ext uri="{FF2B5EF4-FFF2-40B4-BE49-F238E27FC236}">
                <a16:creationId xmlns:a16="http://schemas.microsoft.com/office/drawing/2014/main" id="{BA81DE9B-3E7D-4972-B9DA-B32D9B84A7B0}"/>
              </a:ext>
            </a:extLst>
          </xdr:cNvPr>
          <xdr:cNvSpPr txBox="1"/>
        </xdr:nvSpPr>
        <xdr:spPr>
          <a:xfrm>
            <a:off x="999016" y="480271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MEDIAN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69" name="Graphic 22" descr="Arrow">
            <a:hlinkClick xmlns:r="http://schemas.openxmlformats.org/officeDocument/2006/relationships" r:id="rId8" tooltip="Select to learn more from the web"/>
            <a:extLst>
              <a:ext uri="{FF2B5EF4-FFF2-40B4-BE49-F238E27FC236}">
                <a16:creationId xmlns:a16="http://schemas.microsoft.com/office/drawing/2014/main" id="{9892FEF6-FCEC-4300-8BD3-7D5F3A40FFC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4705860"/>
            <a:ext cx="492262" cy="364389"/>
          </a:xfrm>
          <a:prstGeom prst="rect">
            <a:avLst/>
          </a:prstGeom>
        </xdr:spPr>
      </xdr:pic>
    </xdr:grpSp>
    <xdr:clientData/>
  </xdr:twoCellAnchor>
  <xdr:twoCellAnchor>
    <xdr:from>
      <xdr:col>0</xdr:col>
      <xdr:colOff>533831</xdr:colOff>
      <xdr:row>23</xdr:row>
      <xdr:rowOff>147523</xdr:rowOff>
    </xdr:from>
    <xdr:to>
      <xdr:col>1</xdr:col>
      <xdr:colOff>2155460</xdr:colOff>
      <xdr:row>25</xdr:row>
      <xdr:rowOff>125602</xdr:rowOff>
    </xdr:to>
    <xdr:grpSp>
      <xdr:nvGrpSpPr>
        <xdr:cNvPr id="6" name="Group 5">
          <a:extLst>
            <a:ext uri="{FF2B5EF4-FFF2-40B4-BE49-F238E27FC236}">
              <a16:creationId xmlns:a16="http://schemas.microsoft.com/office/drawing/2014/main" id="{3CA2605E-542A-4852-9719-D7B97D165AA8}"/>
            </a:ext>
          </a:extLst>
        </xdr:cNvPr>
        <xdr:cNvGrpSpPr/>
      </xdr:nvGrpSpPr>
      <xdr:grpSpPr>
        <a:xfrm>
          <a:off x="533831" y="5100523"/>
          <a:ext cx="2490309" cy="359079"/>
          <a:chOff x="533831" y="5100523"/>
          <a:chExt cx="2469354" cy="359079"/>
        </a:xfrm>
      </xdr:grpSpPr>
      <xdr:sp macro="" textlink="">
        <xdr:nvSpPr>
          <xdr:cNvPr id="70" name="Step" descr="Use Excel as your calculator, hyperlinked to web&#10;">
            <a:hlinkClick xmlns:r="http://schemas.openxmlformats.org/officeDocument/2006/relationships" r:id="rId9" tooltip="Select to learn all about the MODE function on the web"/>
            <a:extLst>
              <a:ext uri="{FF2B5EF4-FFF2-40B4-BE49-F238E27FC236}">
                <a16:creationId xmlns:a16="http://schemas.microsoft.com/office/drawing/2014/main" id="{D8C06581-85B1-48B2-9903-8FE135F6657E}"/>
              </a:ext>
            </a:extLst>
          </xdr:cNvPr>
          <xdr:cNvSpPr txBox="1"/>
        </xdr:nvSpPr>
        <xdr:spPr>
          <a:xfrm>
            <a:off x="999016" y="5196474"/>
            <a:ext cx="2004169" cy="2375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MODE</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71" name="Graphic 70" descr="Arrow">
            <a:hlinkClick xmlns:r="http://schemas.openxmlformats.org/officeDocument/2006/relationships" r:id="rId9" tooltip="Select to learn more from the web"/>
            <a:extLst>
              <a:ext uri="{FF2B5EF4-FFF2-40B4-BE49-F238E27FC236}">
                <a16:creationId xmlns:a16="http://schemas.microsoft.com/office/drawing/2014/main" id="{23BB92B1-ADE3-4F88-9E72-298DC0EA42DC}"/>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3831" y="5100523"/>
            <a:ext cx="492262" cy="359079"/>
          </a:xfrm>
          <a:prstGeom prst="rect">
            <a:avLst/>
          </a:prstGeom>
        </xdr:spPr>
      </xdr:pic>
    </xdr:grpSp>
    <xdr:clientData/>
  </xdr:twoCellAnchor>
  <xdr:twoCellAnchor>
    <xdr:from>
      <xdr:col>0</xdr:col>
      <xdr:colOff>546440</xdr:colOff>
      <xdr:row>25</xdr:row>
      <xdr:rowOff>155878</xdr:rowOff>
    </xdr:from>
    <xdr:to>
      <xdr:col>1</xdr:col>
      <xdr:colOff>2202742</xdr:colOff>
      <xdr:row>27</xdr:row>
      <xdr:rowOff>139267</xdr:rowOff>
    </xdr:to>
    <xdr:grpSp>
      <xdr:nvGrpSpPr>
        <xdr:cNvPr id="7" name="Group 6">
          <a:extLst>
            <a:ext uri="{FF2B5EF4-FFF2-40B4-BE49-F238E27FC236}">
              <a16:creationId xmlns:a16="http://schemas.microsoft.com/office/drawing/2014/main" id="{73707755-F600-4512-81C1-EB2BE159BA8A}"/>
            </a:ext>
          </a:extLst>
        </xdr:cNvPr>
        <xdr:cNvGrpSpPr/>
      </xdr:nvGrpSpPr>
      <xdr:grpSpPr>
        <a:xfrm>
          <a:off x="546440" y="5489878"/>
          <a:ext cx="2524982" cy="356769"/>
          <a:chOff x="546440" y="5489878"/>
          <a:chExt cx="2504027" cy="364389"/>
        </a:xfrm>
      </xdr:grpSpPr>
      <xdr:sp macro="" textlink="">
        <xdr:nvSpPr>
          <xdr:cNvPr id="72" name="Step" descr="Free Excel training online, hyperlinked to web&#10;">
            <a:hlinkClick xmlns:r="http://schemas.openxmlformats.org/officeDocument/2006/relationships" r:id="rId10" tooltip="Select to learn about free Excel training on the web"/>
            <a:extLst>
              <a:ext uri="{FF2B5EF4-FFF2-40B4-BE49-F238E27FC236}">
                <a16:creationId xmlns:a16="http://schemas.microsoft.com/office/drawing/2014/main" id="{C58EAA90-3FBF-49C2-82FA-21634FD8AC83}"/>
              </a:ext>
            </a:extLst>
          </xdr:cNvPr>
          <xdr:cNvSpPr txBox="1"/>
        </xdr:nvSpPr>
        <xdr:spPr>
          <a:xfrm>
            <a:off x="1011624" y="556955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73" name="Graphic 22" descr="Arrow">
            <a:hlinkClick xmlns:r="http://schemas.openxmlformats.org/officeDocument/2006/relationships" r:id="rId10" tooltip="Select to learn more from the web"/>
            <a:extLst>
              <a:ext uri="{FF2B5EF4-FFF2-40B4-BE49-F238E27FC236}">
                <a16:creationId xmlns:a16="http://schemas.microsoft.com/office/drawing/2014/main" id="{EB32D096-867C-44AB-99CB-60AA41C6F3C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6440" y="5489878"/>
            <a:ext cx="492262" cy="364389"/>
          </a:xfrm>
          <a:prstGeom prst="rect">
            <a:avLst/>
          </a:prstGeom>
        </xdr:spPr>
      </xdr:pic>
    </xdr:grpSp>
    <xdr:clientData/>
  </xdr:twoCellAnchor>
  <xdr:twoCellAnchor>
    <xdr:from>
      <xdr:col>0</xdr:col>
      <xdr:colOff>333375</xdr:colOff>
      <xdr:row>0</xdr:row>
      <xdr:rowOff>352425</xdr:rowOff>
    </xdr:from>
    <xdr:to>
      <xdr:col>1</xdr:col>
      <xdr:colOff>5638800</xdr:colOff>
      <xdr:row>16</xdr:row>
      <xdr:rowOff>47625</xdr:rowOff>
    </xdr:to>
    <xdr:grpSp>
      <xdr:nvGrpSpPr>
        <xdr:cNvPr id="2" name="Group 1">
          <a:extLst>
            <a:ext uri="{FF2B5EF4-FFF2-40B4-BE49-F238E27FC236}">
              <a16:creationId xmlns:a16="http://schemas.microsoft.com/office/drawing/2014/main" id="{33E5237C-83C3-4564-93AA-DF5775431276}"/>
            </a:ext>
          </a:extLst>
        </xdr:cNvPr>
        <xdr:cNvGrpSpPr/>
      </xdr:nvGrpSpPr>
      <xdr:grpSpPr>
        <a:xfrm>
          <a:off x="333375" y="352425"/>
          <a:ext cx="6174105" cy="3314700"/>
          <a:chOff x="333375" y="352425"/>
          <a:chExt cx="5676900" cy="3314700"/>
        </a:xfrm>
      </xdr:grpSpPr>
      <xdr:sp macro="" textlink="">
        <xdr:nvSpPr>
          <xdr:cNvPr id="54" name="Background" descr="Background">
            <a:extLst>
              <a:ext uri="{FF2B5EF4-FFF2-40B4-BE49-F238E27FC236}">
                <a16:creationId xmlns:a16="http://schemas.microsoft.com/office/drawing/2014/main" id="{946CF461-EAD5-42C2-9617-11F5AB31034E}"/>
              </a:ext>
            </a:extLst>
          </xdr:cNvPr>
          <xdr:cNvSpPr/>
        </xdr:nvSpPr>
        <xdr:spPr>
          <a:xfrm>
            <a:off x="333375" y="352425"/>
            <a:ext cx="5676900" cy="33147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xnSp macro="">
        <xdr:nvCxnSpPr>
          <xdr:cNvPr id="55" name="Bottom line" descr="Decorative line">
            <a:extLst>
              <a:ext uri="{FF2B5EF4-FFF2-40B4-BE49-F238E27FC236}">
                <a16:creationId xmlns:a16="http://schemas.microsoft.com/office/drawing/2014/main" id="{19CE13EE-832F-4DD0-B1BF-1804BA768D33}"/>
              </a:ext>
            </a:extLst>
          </xdr:cNvPr>
          <xdr:cNvCxnSpPr>
            <a:cxnSpLocks/>
          </xdr:cNvCxnSpPr>
        </xdr:nvCxnSpPr>
        <xdr:spPr>
          <a:xfrm>
            <a:off x="561975"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56" name="Step" descr="AVERAGE and COUNT functions">
            <a:extLst>
              <a:ext uri="{FF2B5EF4-FFF2-40B4-BE49-F238E27FC236}">
                <a16:creationId xmlns:a16="http://schemas.microsoft.com/office/drawing/2014/main" id="{0EC26865-CBCE-4A2A-ABDC-3A3BD17755CC}"/>
              </a:ext>
            </a:extLst>
          </xdr:cNvPr>
          <xdr:cNvSpPr txBox="1"/>
        </xdr:nvSpPr>
        <xdr:spPr>
          <a:xfrm>
            <a:off x="561975" y="412054"/>
            <a:ext cx="4531545"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Fonction MOYENNE</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sp macro="" textlink="">
        <xdr:nvSpPr>
          <xdr:cNvPr id="60" name="Add numbers introduction" descr="Use the AVERAGE function to get the average of numbers in a range of cells.&#10;Use the COUNT function to get the count of cells with values in them. The values can be numbers or text.&#10;">
            <a:extLst>
              <a:ext uri="{FF2B5EF4-FFF2-40B4-BE49-F238E27FC236}">
                <a16:creationId xmlns:a16="http://schemas.microsoft.com/office/drawing/2014/main" id="{222C44FC-97C1-4A45-8398-B2E0A188AD11}"/>
              </a:ext>
            </a:extLst>
          </xdr:cNvPr>
          <xdr:cNvSpPr txBox="1"/>
        </xdr:nvSpPr>
        <xdr:spPr>
          <a:xfrm>
            <a:off x="552450" y="895349"/>
            <a:ext cx="5300938"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Utilisez la fonction </a:t>
            </a:r>
            <a:r>
              <a:rPr lang="en-US" sz="1100" b="1" kern="1200">
                <a:solidFill>
                  <a:schemeClr val="dk1"/>
                </a:solidFill>
                <a:latin typeface="Segoe UI" panose="020B0502040204020203" pitchFamily="34" charset="0"/>
                <a:ea typeface="+mn-ea"/>
                <a:cs typeface="Segoe UI" panose="020B0502040204020203" pitchFamily="34" charset="0"/>
              </a:rPr>
              <a:t>MOYENNE</a:t>
            </a:r>
            <a:r>
              <a:rPr lang="en-US" sz="1100" kern="1200">
                <a:solidFill>
                  <a:schemeClr val="dk1"/>
                </a:solidFill>
                <a:latin typeface="Segoe UI" panose="020B0502040204020203" pitchFamily="34" charset="0"/>
                <a:ea typeface="+mn-ea"/>
                <a:cs typeface="Segoe UI" panose="020B0502040204020203" pitchFamily="34" charset="0"/>
              </a:rPr>
              <a:t> pour obtenir la moyenne des nombres dans une plage de cellules.</a:t>
            </a:r>
          </a:p>
        </xdr:txBody>
      </xdr:sp>
      <xdr:cxnSp macro="">
        <xdr:nvCxnSpPr>
          <xdr:cNvPr id="74" name="Straight Connector 73" descr="Decorative line">
            <a:extLst>
              <a:ext uri="{FF2B5EF4-FFF2-40B4-BE49-F238E27FC236}">
                <a16:creationId xmlns:a16="http://schemas.microsoft.com/office/drawing/2014/main" id="{EB69A890-AAA0-4D33-8A35-FC1FB4FFC831}"/>
              </a:ext>
            </a:extLst>
          </xdr:cNvPr>
          <xdr:cNvCxnSpPr>
            <a:cxnSpLocks/>
          </xdr:cNvCxnSpPr>
        </xdr:nvCxnSpPr>
        <xdr:spPr>
          <a:xfrm>
            <a:off x="561975" y="3028950"/>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nvGrpSpPr>
          <xdr:cNvPr id="75" name="grp_Step">
            <a:extLst>
              <a:ext uri="{FF2B5EF4-FFF2-40B4-BE49-F238E27FC236}">
                <a16:creationId xmlns:a16="http://schemas.microsoft.com/office/drawing/2014/main" id="{337393F7-B1CB-40BB-9DB6-BE20F8463B0C}"/>
              </a:ext>
            </a:extLst>
          </xdr:cNvPr>
          <xdr:cNvGrpSpPr/>
        </xdr:nvGrpSpPr>
        <xdr:grpSpPr>
          <a:xfrm>
            <a:off x="514904" y="1350644"/>
            <a:ext cx="5236919" cy="593022"/>
            <a:chOff x="234989" y="1876484"/>
            <a:chExt cx="5245171" cy="603875"/>
          </a:xfrm>
        </xdr:grpSpPr>
        <xdr:sp macro="" textlink="">
          <xdr:nvSpPr>
            <xdr:cNvPr id="76" name="Step" descr="Click cell D7, then use the AutoSum Wizard to add an AVERAGE function.&#10;">
              <a:extLst>
                <a:ext uri="{FF2B5EF4-FFF2-40B4-BE49-F238E27FC236}">
                  <a16:creationId xmlns:a16="http://schemas.microsoft.com/office/drawing/2014/main" id="{6F13119C-6E3E-4C36-B32B-49490A490EF6}"/>
                </a:ext>
              </a:extLst>
            </xdr:cNvPr>
            <xdr:cNvSpPr txBox="1"/>
          </xdr:nvSpPr>
          <xdr:spPr>
            <a:xfrm>
              <a:off x="670644" y="1918977"/>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Sélectionne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puis utilise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SOMME AUTOMATIQUE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pour ajouter une fonction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MOYENNE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77" name="1" descr="1">
              <a:extLst>
                <a:ext uri="{FF2B5EF4-FFF2-40B4-BE49-F238E27FC236}">
                  <a16:creationId xmlns:a16="http://schemas.microsoft.com/office/drawing/2014/main" id="{F8B0CD3C-1CBB-4D6B-8A87-73A3B2261695}"/>
                </a:ext>
              </a:extLst>
            </xdr:cNvPr>
            <xdr:cNvSpPr/>
          </xdr:nvSpPr>
          <xdr:spPr>
            <a:xfrm>
              <a:off x="234989" y="1876484"/>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78" name="grp_Step">
            <a:extLst>
              <a:ext uri="{FF2B5EF4-FFF2-40B4-BE49-F238E27FC236}">
                <a16:creationId xmlns:a16="http://schemas.microsoft.com/office/drawing/2014/main" id="{09C24E64-BB63-463B-8648-CD8E2595E290}"/>
              </a:ext>
            </a:extLst>
          </xdr:cNvPr>
          <xdr:cNvGrpSpPr/>
        </xdr:nvGrpSpPr>
        <xdr:grpSpPr>
          <a:xfrm>
            <a:off x="505379" y="1907867"/>
            <a:ext cx="5246445" cy="554930"/>
            <a:chOff x="117819" y="1127487"/>
            <a:chExt cx="5254712" cy="565086"/>
          </a:xfrm>
        </xdr:grpSpPr>
        <xdr:sp macro="" textlink="">
          <xdr:nvSpPr>
            <xdr:cNvPr id="79" name="Step" descr="Now click cell G7, and enter a COUNT function by hand by typing =COUNT(D3:D6).&#10;">
              <a:extLst>
                <a:ext uri="{FF2B5EF4-FFF2-40B4-BE49-F238E27FC236}">
                  <a16:creationId xmlns:a16="http://schemas.microsoft.com/office/drawing/2014/main" id="{2BDCA942-D2F9-4CA9-AA98-7ADE8728D2B6}"/>
                </a:ext>
              </a:extLst>
            </xdr:cNvPr>
            <xdr:cNvSpPr txBox="1"/>
          </xdr:nvSpPr>
          <xdr:spPr>
            <a:xfrm>
              <a:off x="563015" y="1131186"/>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Maintenant sélectionne la cellule G7, et entre une fonction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MOYENNE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 tapant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=MOYENNE(G3:G6).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0" name="1" descr="1">
              <a:extLst>
                <a:ext uri="{FF2B5EF4-FFF2-40B4-BE49-F238E27FC236}">
                  <a16:creationId xmlns:a16="http://schemas.microsoft.com/office/drawing/2014/main" id="{F55E67E8-D8B3-4A12-A9B8-C20610A90059}"/>
                </a:ext>
              </a:extLst>
            </xdr:cNvPr>
            <xdr:cNvSpPr/>
          </xdr:nvSpPr>
          <xdr:spPr>
            <a:xfrm>
              <a:off x="117819" y="1127487"/>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1" name="grp_Step">
            <a:extLst>
              <a:ext uri="{FF2B5EF4-FFF2-40B4-BE49-F238E27FC236}">
                <a16:creationId xmlns:a16="http://schemas.microsoft.com/office/drawing/2014/main" id="{AA044558-54FF-4FC4-BA5E-52BCE7820723}"/>
              </a:ext>
            </a:extLst>
          </xdr:cNvPr>
          <xdr:cNvGrpSpPr/>
        </xdr:nvGrpSpPr>
        <xdr:grpSpPr>
          <a:xfrm>
            <a:off x="505375" y="2517450"/>
            <a:ext cx="5293284" cy="596207"/>
            <a:chOff x="118919" y="1126826"/>
            <a:chExt cx="5250415" cy="603885"/>
          </a:xfrm>
        </xdr:grpSpPr>
        <xdr:sp macro="" textlink="">
          <xdr:nvSpPr>
            <xdr:cNvPr id="82" name="Step" descr="In cell D15, you can use either the AutoSum Wizard, or type by hand to enter a AVERAGE or COUNTfunction. &#10;">
              <a:extLst>
                <a:ext uri="{FF2B5EF4-FFF2-40B4-BE49-F238E27FC236}">
                  <a16:creationId xmlns:a16="http://schemas.microsoft.com/office/drawing/2014/main" id="{3CD4882E-34FF-4391-9460-106057834DB5}"/>
                </a:ext>
              </a:extLst>
            </xdr:cNvPr>
            <xdr:cNvSpPr txBox="1"/>
          </xdr:nvSpPr>
          <xdr:spPr>
            <a:xfrm>
              <a:off x="559818" y="116932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 la cellule D15, , tu peux utiliser au choix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SOMME AUTOMATIQUE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ou entrer la fonction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MOYENNE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83" name="1" descr="1">
              <a:extLst>
                <a:ext uri="{FF2B5EF4-FFF2-40B4-BE49-F238E27FC236}">
                  <a16:creationId xmlns:a16="http://schemas.microsoft.com/office/drawing/2014/main" id="{17E2BC9E-3083-4B7F-8C51-050E0D9F9B57}"/>
                </a:ext>
              </a:extLst>
            </xdr:cNvPr>
            <xdr:cNvSpPr/>
          </xdr:nvSpPr>
          <xdr:spPr>
            <a:xfrm>
              <a:off x="118919" y="112682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absoluteAnchor>
    <xdr:pos x="571500" y="3181350"/>
    <xdr:ext cx="1275170" cy="335449"/>
    <xdr:sp macro="" textlink="">
      <xdr:nvSpPr>
        <xdr:cNvPr id="40"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0E7DA197-ABD1-44AB-B211-A88D7396AFD9}"/>
            </a:ext>
          </a:extLst>
        </xdr:cNvPr>
        <xdr:cNvSpPr/>
      </xdr:nvSpPr>
      <xdr:spPr>
        <a:xfrm flipH="1">
          <a:off x="571500"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Précédent</a:t>
          </a:r>
        </a:p>
      </xdr:txBody>
    </xdr:sp>
    <xdr:clientData fPrintsWithSheet="0"/>
  </xdr:absoluteAnchor>
  <xdr:absoluteAnchor>
    <xdr:pos x="4494261" y="3181350"/>
    <xdr:ext cx="1275170" cy="335449"/>
    <xdr:sp macro="" textlink="">
      <xdr:nvSpPr>
        <xdr:cNvPr id="41"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C770AC94-627D-4EC1-A995-AE96F8191AA8}"/>
            </a:ext>
          </a:extLst>
        </xdr:cNvPr>
        <xdr:cNvSpPr/>
      </xdr:nvSpPr>
      <xdr:spPr>
        <a:xfrm>
          <a:off x="4494261" y="31813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Suivant</a:t>
          </a:r>
        </a:p>
      </xdr:txBody>
    </xdr:sp>
    <xdr:clientData fPrintsWithSheet="0"/>
  </xdr:absoluteAnchor>
  <xdr:twoCellAnchor editAs="absolute">
    <xdr:from>
      <xdr:col>7</xdr:col>
      <xdr:colOff>28575</xdr:colOff>
      <xdr:row>1</xdr:row>
      <xdr:rowOff>95250</xdr:rowOff>
    </xdr:from>
    <xdr:to>
      <xdr:col>11</xdr:col>
      <xdr:colOff>228591</xdr:colOff>
      <xdr:row>8</xdr:row>
      <xdr:rowOff>171451</xdr:rowOff>
    </xdr:to>
    <xdr:grpSp>
      <xdr:nvGrpSpPr>
        <xdr:cNvPr id="42" name="CHECK THIS OUT" descr="CHECK THIS OUT&#10;&#10;">
          <a:extLst>
            <a:ext uri="{FF2B5EF4-FFF2-40B4-BE49-F238E27FC236}">
              <a16:creationId xmlns:a16="http://schemas.microsoft.com/office/drawing/2014/main" id="{4F2C83E2-CCF8-46E7-9C89-FEAB092ACF14}"/>
            </a:ext>
          </a:extLst>
        </xdr:cNvPr>
        <xdr:cNvGrpSpPr/>
      </xdr:nvGrpSpPr>
      <xdr:grpSpPr>
        <a:xfrm>
          <a:off x="10399395" y="857250"/>
          <a:ext cx="2638416" cy="1409701"/>
          <a:chOff x="7539454" y="7993902"/>
          <a:chExt cx="2562091" cy="1409701"/>
        </a:xfrm>
      </xdr:grpSpPr>
      <xdr:grpSp>
        <xdr:nvGrpSpPr>
          <xdr:cNvPr id="43" name="Bracket lines">
            <a:extLst>
              <a:ext uri="{FF2B5EF4-FFF2-40B4-BE49-F238E27FC236}">
                <a16:creationId xmlns:a16="http://schemas.microsoft.com/office/drawing/2014/main" id="{090D3EC1-EA82-4F59-ACD0-96FA59FEEDAE}"/>
              </a:ext>
            </a:extLst>
          </xdr:cNvPr>
          <xdr:cNvGrpSpPr/>
        </xdr:nvGrpSpPr>
        <xdr:grpSpPr>
          <a:xfrm rot="599914">
            <a:off x="7539454" y="8145377"/>
            <a:ext cx="293814" cy="698211"/>
            <a:chOff x="9871108" y="1184220"/>
            <a:chExt cx="273326" cy="789155"/>
          </a:xfrm>
        </xdr:grpSpPr>
        <xdr:sp macro="" textlink="">
          <xdr:nvSpPr>
            <xdr:cNvPr id="46" name="Another bracket line" descr="Bracket line">
              <a:extLst>
                <a:ext uri="{FF2B5EF4-FFF2-40B4-BE49-F238E27FC236}">
                  <a16:creationId xmlns:a16="http://schemas.microsoft.com/office/drawing/2014/main" id="{BEF648EA-371C-4729-AE99-CFA59591F247}"/>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47" name="Bracket line" descr="Bracket line&#10;">
              <a:extLst>
                <a:ext uri="{FF2B5EF4-FFF2-40B4-BE49-F238E27FC236}">
                  <a16:creationId xmlns:a16="http://schemas.microsoft.com/office/drawing/2014/main" id="{E468B18D-E172-4553-95E9-9BB07C824623}"/>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44" name="Stars" descr="Stars">
            <a:extLst>
              <a:ext uri="{FF2B5EF4-FFF2-40B4-BE49-F238E27FC236}">
                <a16:creationId xmlns:a16="http://schemas.microsoft.com/office/drawing/2014/main" id="{B4018B5E-B4D1-4A74-AA2B-F90699838193}"/>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45" name="Instructions" descr="CHECK THIS OUT&#10;Select any range of numbers, then look in the Status Bar for an instant Average.&#10;">
            <a:extLst>
              <a:ext uri="{FF2B5EF4-FFF2-40B4-BE49-F238E27FC236}">
                <a16:creationId xmlns:a16="http://schemas.microsoft.com/office/drawing/2014/main" id="{D8493739-C1B9-4EAD-A94C-3DF50BC1811C}"/>
              </a:ext>
            </a:extLst>
          </xdr:cNvPr>
          <xdr:cNvSpPr txBox="1"/>
        </xdr:nvSpPr>
        <xdr:spPr>
          <a:xfrm>
            <a:off x="8132529" y="7993902"/>
            <a:ext cx="1969016"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ESSAYE CA</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Sélectionne n’importe quelle plage de nombres, puis recherchez une moyenne instantanée dans la barre d’état.</a:t>
            </a:r>
            <a:endParaRPr lang="en-US" sz="1100">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507180</xdr:colOff>
      <xdr:row>1</xdr:row>
      <xdr:rowOff>110785</xdr:rowOff>
    </xdr:from>
    <xdr:to>
      <xdr:col>1</xdr:col>
      <xdr:colOff>4855395</xdr:colOff>
      <xdr:row>1</xdr:row>
      <xdr:rowOff>110785</xdr:rowOff>
    </xdr:to>
    <xdr:cxnSp macro="">
      <xdr:nvCxnSpPr>
        <xdr:cNvPr id="11" name="Bottom line" descr="Decorative line">
          <a:extLst>
            <a:ext uri="{FF2B5EF4-FFF2-40B4-BE49-F238E27FC236}">
              <a16:creationId xmlns:a16="http://schemas.microsoft.com/office/drawing/2014/main" id="{B2BB6690-F94B-423E-9085-888A990B20FA}"/>
            </a:ext>
          </a:extLst>
        </xdr:cNvPr>
        <xdr:cNvCxnSpPr>
          <a:cxnSpLocks/>
        </xdr:cNvCxnSpPr>
      </xdr:nvCxnSpPr>
      <xdr:spPr>
        <a:xfrm>
          <a:off x="507180" y="87278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361950</xdr:colOff>
      <xdr:row>0</xdr:row>
      <xdr:rowOff>352425</xdr:rowOff>
    </xdr:from>
    <xdr:to>
      <xdr:col>1</xdr:col>
      <xdr:colOff>5547360</xdr:colOff>
      <xdr:row>16</xdr:row>
      <xdr:rowOff>123825</xdr:rowOff>
    </xdr:to>
    <xdr:sp macro="" textlink="">
      <xdr:nvSpPr>
        <xdr:cNvPr id="10" name="Background" descr="Background">
          <a:extLst>
            <a:ext uri="{FF2B5EF4-FFF2-40B4-BE49-F238E27FC236}">
              <a16:creationId xmlns:a16="http://schemas.microsoft.com/office/drawing/2014/main" id="{CB9819E8-3CD0-4C0B-A61A-2C34908D539E}"/>
            </a:ext>
          </a:extLst>
        </xdr:cNvPr>
        <xdr:cNvSpPr/>
      </xdr:nvSpPr>
      <xdr:spPr>
        <a:xfrm>
          <a:off x="361950" y="352425"/>
          <a:ext cx="6054090" cy="33909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554805</xdr:colOff>
      <xdr:row>0</xdr:row>
      <xdr:rowOff>383479</xdr:rowOff>
    </xdr:from>
    <xdr:to>
      <xdr:col>1</xdr:col>
      <xdr:colOff>4906184</xdr:colOff>
      <xdr:row>2</xdr:row>
      <xdr:rowOff>75226</xdr:rowOff>
    </xdr:to>
    <xdr:sp macro="" textlink="">
      <xdr:nvSpPr>
        <xdr:cNvPr id="12" name="Step" descr="MIN and MAX functions &#10;">
          <a:extLst>
            <a:ext uri="{FF2B5EF4-FFF2-40B4-BE49-F238E27FC236}">
              <a16:creationId xmlns:a16="http://schemas.microsoft.com/office/drawing/2014/main" id="{290AE3DB-684C-4C3A-8975-4F68B8A76E04}"/>
            </a:ext>
          </a:extLst>
        </xdr:cNvPr>
        <xdr:cNvSpPr txBox="1"/>
      </xdr:nvSpPr>
      <xdr:spPr>
        <a:xfrm>
          <a:off x="554805" y="383479"/>
          <a:ext cx="5199104" cy="6442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2200" b="0" i="0" u="none" strike="noStrike" kern="1200">
              <a:solidFill>
                <a:srgbClr val="3B3838"/>
              </a:solidFill>
              <a:effectLst/>
              <a:latin typeface="Segoe UI Light" panose="020B0502040204020203" pitchFamily="34" charset="0"/>
              <a:ea typeface="+mn-ea"/>
              <a:cs typeface="Segoe UI Light" panose="020B0502040204020203" pitchFamily="34" charset="0"/>
            </a:rPr>
            <a:t>Fonctions MIN et MAX</a:t>
          </a:r>
          <a:endParaRPr kumimoji="0" lang="en-US" sz="2200" b="0" i="0" u="none" strike="noStrike" kern="0" cap="none" spc="0" normalizeH="0" baseline="0">
            <a:ln>
              <a:noFill/>
            </a:ln>
            <a:solidFill>
              <a:srgbClr val="3B3838"/>
            </a:solidFill>
            <a:effectLst/>
            <a:uLnTx/>
            <a:uFillTx/>
            <a:latin typeface="Courier New" panose="02070309020205020404" pitchFamily="49" charset="0"/>
            <a:ea typeface="Segoe UI" pitchFamily="34" charset="0"/>
            <a:cs typeface="Courier New" panose="02070309020205020404" pitchFamily="49" charset="0"/>
          </a:endParaRPr>
        </a:p>
      </xdr:txBody>
    </xdr:sp>
    <xdr:clientData/>
  </xdr:twoCellAnchor>
  <xdr:twoCellAnchor>
    <xdr:from>
      <xdr:col>0</xdr:col>
      <xdr:colOff>554805</xdr:colOff>
      <xdr:row>13</xdr:row>
      <xdr:rowOff>70137</xdr:rowOff>
    </xdr:from>
    <xdr:to>
      <xdr:col>1</xdr:col>
      <xdr:colOff>4903020</xdr:colOff>
      <xdr:row>13</xdr:row>
      <xdr:rowOff>70137</xdr:rowOff>
    </xdr:to>
    <xdr:cxnSp macro="">
      <xdr:nvCxnSpPr>
        <xdr:cNvPr id="13" name="Bottom line" descr="Decorative line">
          <a:extLst>
            <a:ext uri="{FF2B5EF4-FFF2-40B4-BE49-F238E27FC236}">
              <a16:creationId xmlns:a16="http://schemas.microsoft.com/office/drawing/2014/main" id="{3E5AC6B3-B2DC-4232-99C9-EB75DEB63824}"/>
            </a:ext>
          </a:extLst>
        </xdr:cNvPr>
        <xdr:cNvCxnSpPr>
          <a:cxnSpLocks/>
        </xdr:cNvCxnSpPr>
      </xdr:nvCxnSpPr>
      <xdr:spPr>
        <a:xfrm>
          <a:off x="554805" y="3118137"/>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541025</xdr:colOff>
      <xdr:row>5</xdr:row>
      <xdr:rowOff>71444</xdr:rowOff>
    </xdr:from>
    <xdr:to>
      <xdr:col>1</xdr:col>
      <xdr:colOff>4911162</xdr:colOff>
      <xdr:row>8</xdr:row>
      <xdr:rowOff>92966</xdr:rowOff>
    </xdr:to>
    <xdr:grpSp>
      <xdr:nvGrpSpPr>
        <xdr:cNvPr id="16" name="grp_Step">
          <a:extLst>
            <a:ext uri="{FF2B5EF4-FFF2-40B4-BE49-F238E27FC236}">
              <a16:creationId xmlns:a16="http://schemas.microsoft.com/office/drawing/2014/main" id="{ACD1828C-DCA0-413C-9B03-AC8C886B868F}"/>
            </a:ext>
          </a:extLst>
        </xdr:cNvPr>
        <xdr:cNvGrpSpPr/>
      </xdr:nvGrpSpPr>
      <xdr:grpSpPr>
        <a:xfrm>
          <a:off x="541025" y="1595444"/>
          <a:ext cx="5238817" cy="593022"/>
          <a:chOff x="425239" y="1752333"/>
          <a:chExt cx="5226084" cy="603875"/>
        </a:xfrm>
      </xdr:grpSpPr>
      <xdr:sp macro="" textlink="">
        <xdr:nvSpPr>
          <xdr:cNvPr id="24" name="Step" descr="Select cell D7, then use the AutoSum Wizard to add a MIN function.&#10;&#10;">
            <a:extLst>
              <a:ext uri="{FF2B5EF4-FFF2-40B4-BE49-F238E27FC236}">
                <a16:creationId xmlns:a16="http://schemas.microsoft.com/office/drawing/2014/main" id="{D40637C7-0E2A-4342-9CA2-3732FB1CF31E}"/>
              </a:ext>
            </a:extLst>
          </xdr:cNvPr>
          <xdr:cNvSpPr txBox="1"/>
        </xdr:nvSpPr>
        <xdr:spPr>
          <a:xfrm>
            <a:off x="841807" y="1794826"/>
            <a:ext cx="4809516" cy="5613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Sélectionnez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puis utilisez l’Assistant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Somme automatique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pour ajouter une fonction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5" name="1" descr="1">
            <a:extLst>
              <a:ext uri="{FF2B5EF4-FFF2-40B4-BE49-F238E27FC236}">
                <a16:creationId xmlns:a16="http://schemas.microsoft.com/office/drawing/2014/main" id="{267F72DF-4B2D-4DC6-922D-D0464FE922DC}"/>
              </a:ext>
            </a:extLst>
          </xdr:cNvPr>
          <xdr:cNvSpPr/>
        </xdr:nvSpPr>
        <xdr:spPr>
          <a:xfrm>
            <a:off x="425239" y="1752333"/>
            <a:ext cx="371587" cy="371586"/>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531500</xdr:colOff>
      <xdr:row>8</xdr:row>
      <xdr:rowOff>19064</xdr:rowOff>
    </xdr:from>
    <xdr:to>
      <xdr:col>1</xdr:col>
      <xdr:colOff>4901643</xdr:colOff>
      <xdr:row>11</xdr:row>
      <xdr:rowOff>2495</xdr:rowOff>
    </xdr:to>
    <xdr:grpSp>
      <xdr:nvGrpSpPr>
        <xdr:cNvPr id="17" name="grp_Step">
          <a:extLst>
            <a:ext uri="{FF2B5EF4-FFF2-40B4-BE49-F238E27FC236}">
              <a16:creationId xmlns:a16="http://schemas.microsoft.com/office/drawing/2014/main" id="{C6DE3E57-FFF3-4FAC-B4DB-48087863CEA8}"/>
            </a:ext>
          </a:extLst>
        </xdr:cNvPr>
        <xdr:cNvGrpSpPr/>
      </xdr:nvGrpSpPr>
      <xdr:grpSpPr>
        <a:xfrm>
          <a:off x="531500" y="2114564"/>
          <a:ext cx="5238823" cy="554931"/>
          <a:chOff x="308069" y="1003336"/>
          <a:chExt cx="5226090" cy="565088"/>
        </a:xfrm>
      </xdr:grpSpPr>
      <xdr:sp macro="" textlink="">
        <xdr:nvSpPr>
          <xdr:cNvPr id="22" name="Step" descr="Now select cell G7, and enter a MAX function by typing =MAX(D3:D6).&#10;">
            <a:extLst>
              <a:ext uri="{FF2B5EF4-FFF2-40B4-BE49-F238E27FC236}">
                <a16:creationId xmlns:a16="http://schemas.microsoft.com/office/drawing/2014/main" id="{8D1688A7-CC33-4913-8C67-495A2DA6F76D}"/>
              </a:ext>
            </a:extLst>
          </xdr:cNvPr>
          <xdr:cNvSpPr txBox="1"/>
        </xdr:nvSpPr>
        <xdr:spPr>
          <a:xfrm>
            <a:off x="724643" y="1007037"/>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Sélectionnez maintenant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G7</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et entrez une fonction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 tapant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=MAX(D3 :D6)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23" name="1" descr="1">
            <a:extLst>
              <a:ext uri="{FF2B5EF4-FFF2-40B4-BE49-F238E27FC236}">
                <a16:creationId xmlns:a16="http://schemas.microsoft.com/office/drawing/2014/main" id="{D5BF6A91-70D6-46C8-A10E-95B076122A1B}"/>
              </a:ext>
            </a:extLst>
          </xdr:cNvPr>
          <xdr:cNvSpPr/>
        </xdr:nvSpPr>
        <xdr:spPr>
          <a:xfrm>
            <a:off x="308069"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0</xdr:col>
      <xdr:colOff>571500</xdr:colOff>
      <xdr:row>1</xdr:row>
      <xdr:rowOff>133349</xdr:rowOff>
    </xdr:from>
    <xdr:to>
      <xdr:col>1</xdr:col>
      <xdr:colOff>5318760</xdr:colOff>
      <xdr:row>4</xdr:row>
      <xdr:rowOff>99061</xdr:rowOff>
    </xdr:to>
    <xdr:sp macro="" textlink="">
      <xdr:nvSpPr>
        <xdr:cNvPr id="18" name="Add numbers introduction" descr="Use the MIN function to get the smallest number in a range of cells.&#10;Use the MAX function to get the largest number in a range of cells.&#10;">
          <a:extLst>
            <a:ext uri="{FF2B5EF4-FFF2-40B4-BE49-F238E27FC236}">
              <a16:creationId xmlns:a16="http://schemas.microsoft.com/office/drawing/2014/main" id="{55E08DD2-73B6-4C69-A6DB-D0A1FB4A580C}"/>
            </a:ext>
          </a:extLst>
        </xdr:cNvPr>
        <xdr:cNvSpPr txBox="1"/>
      </xdr:nvSpPr>
      <xdr:spPr>
        <a:xfrm>
          <a:off x="571500" y="895349"/>
          <a:ext cx="5615940" cy="5372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Utilisez la fonction </a:t>
          </a:r>
          <a:r>
            <a:rPr lang="en-US" sz="1100" b="1" kern="1200">
              <a:solidFill>
                <a:schemeClr val="dk1"/>
              </a:solidFill>
              <a:latin typeface="Segoe UI" panose="020B0502040204020203" pitchFamily="34" charset="0"/>
              <a:ea typeface="+mn-ea"/>
              <a:cs typeface="Segoe UI" panose="020B0502040204020203" pitchFamily="34" charset="0"/>
            </a:rPr>
            <a:t>MIN</a:t>
          </a:r>
          <a:r>
            <a:rPr lang="en-US" sz="1100" kern="1200">
              <a:solidFill>
                <a:schemeClr val="dk1"/>
              </a:solidFill>
              <a:latin typeface="Segoe UI" panose="020B0502040204020203" pitchFamily="34" charset="0"/>
              <a:ea typeface="+mn-ea"/>
              <a:cs typeface="Segoe UI" panose="020B0502040204020203" pitchFamily="34" charset="0"/>
            </a:rPr>
            <a:t> pour obtenir le plus petit nombre dans une plage de cellules. Utilisez la fonction </a:t>
          </a:r>
          <a:r>
            <a:rPr lang="en-US" sz="1100" b="1" kern="1200">
              <a:solidFill>
                <a:schemeClr val="dk1"/>
              </a:solidFill>
              <a:latin typeface="Segoe UI" panose="020B0502040204020203" pitchFamily="34" charset="0"/>
              <a:ea typeface="+mn-ea"/>
              <a:cs typeface="Segoe UI" panose="020B0502040204020203" pitchFamily="34" charset="0"/>
            </a:rPr>
            <a:t>MAX</a:t>
          </a:r>
          <a:r>
            <a:rPr lang="en-US" sz="1100" kern="1200">
              <a:solidFill>
                <a:schemeClr val="dk1"/>
              </a:solidFill>
              <a:latin typeface="Segoe UI" panose="020B0502040204020203" pitchFamily="34" charset="0"/>
              <a:ea typeface="+mn-ea"/>
              <a:cs typeface="Segoe UI" panose="020B0502040204020203" pitchFamily="34" charset="0"/>
            </a:rPr>
            <a:t> pour obtenir le plus grand nombre dans une plage de cellules.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xdr:from>
      <xdr:col>0</xdr:col>
      <xdr:colOff>531495</xdr:colOff>
      <xdr:row>10</xdr:row>
      <xdr:rowOff>152399</xdr:rowOff>
    </xdr:from>
    <xdr:to>
      <xdr:col>1</xdr:col>
      <xdr:colOff>4952437</xdr:colOff>
      <xdr:row>13</xdr:row>
      <xdr:rowOff>177106</xdr:rowOff>
    </xdr:to>
    <xdr:grpSp>
      <xdr:nvGrpSpPr>
        <xdr:cNvPr id="19" name="grp_Step">
          <a:extLst>
            <a:ext uri="{FF2B5EF4-FFF2-40B4-BE49-F238E27FC236}">
              <a16:creationId xmlns:a16="http://schemas.microsoft.com/office/drawing/2014/main" id="{E19A8549-EA85-41D7-8F76-919D997AC5D5}"/>
            </a:ext>
          </a:extLst>
        </xdr:cNvPr>
        <xdr:cNvGrpSpPr/>
      </xdr:nvGrpSpPr>
      <xdr:grpSpPr>
        <a:xfrm>
          <a:off x="531495" y="2628899"/>
          <a:ext cx="5289622" cy="596207"/>
          <a:chOff x="307333" y="1003336"/>
          <a:chExt cx="5225997" cy="603885"/>
        </a:xfrm>
      </xdr:grpSpPr>
      <xdr:sp macro="" textlink="">
        <xdr:nvSpPr>
          <xdr:cNvPr id="20" name="Step" descr="In cell D15, you can use either the AutoSum Wizard, or type to enter a MIN or MAX function. &#10;&#10;">
            <a:extLst>
              <a:ext uri="{FF2B5EF4-FFF2-40B4-BE49-F238E27FC236}">
                <a16:creationId xmlns:a16="http://schemas.microsoft.com/office/drawing/2014/main" id="{CC98D20A-567C-4788-A414-50C22ED99A17}"/>
              </a:ext>
            </a:extLst>
          </xdr:cNvPr>
          <xdr:cNvSpPr txBox="1"/>
        </xdr:nvSpPr>
        <xdr:spPr>
          <a:xfrm>
            <a:off x="723814" y="1045834"/>
            <a:ext cx="4809516" cy="5613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Dans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D15</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vous pouvez utiliser l’Assistant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Somme automatique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ou entrer une fonction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MIN</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ou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MAX</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21" name="1" descr="1">
            <a:extLst>
              <a:ext uri="{FF2B5EF4-FFF2-40B4-BE49-F238E27FC236}">
                <a16:creationId xmlns:a16="http://schemas.microsoft.com/office/drawing/2014/main" id="{83A195FD-69AC-49CF-AB5E-6F20ECC8C30C}"/>
              </a:ext>
            </a:extLst>
          </xdr:cNvPr>
          <xdr:cNvSpPr/>
        </xdr:nvSpPr>
        <xdr:spPr>
          <a:xfrm>
            <a:off x="307333" y="1003336"/>
            <a:ext cx="371587" cy="371587"/>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xdr:from>
      <xdr:col>0</xdr:col>
      <xdr:colOff>361950</xdr:colOff>
      <xdr:row>17</xdr:row>
      <xdr:rowOff>19051</xdr:rowOff>
    </xdr:from>
    <xdr:to>
      <xdr:col>1</xdr:col>
      <xdr:colOff>5567601</xdr:colOff>
      <xdr:row>28</xdr:row>
      <xdr:rowOff>1</xdr:rowOff>
    </xdr:to>
    <xdr:grpSp>
      <xdr:nvGrpSpPr>
        <xdr:cNvPr id="3" name="Group 2">
          <a:extLst>
            <a:ext uri="{FF2B5EF4-FFF2-40B4-BE49-F238E27FC236}">
              <a16:creationId xmlns:a16="http://schemas.microsoft.com/office/drawing/2014/main" id="{93BD323D-B807-4DC9-82D1-2419D0592459}"/>
            </a:ext>
          </a:extLst>
        </xdr:cNvPr>
        <xdr:cNvGrpSpPr/>
      </xdr:nvGrpSpPr>
      <xdr:grpSpPr>
        <a:xfrm>
          <a:off x="361950" y="3829051"/>
          <a:ext cx="6074331" cy="2068830"/>
          <a:chOff x="361950" y="4257676"/>
          <a:chExt cx="5695950" cy="2076450"/>
        </a:xfrm>
      </xdr:grpSpPr>
      <xdr:sp macro="" textlink="">
        <xdr:nvSpPr>
          <xdr:cNvPr id="27" name="Rectangle 26">
            <a:extLst>
              <a:ext uri="{FF2B5EF4-FFF2-40B4-BE49-F238E27FC236}">
                <a16:creationId xmlns:a16="http://schemas.microsoft.com/office/drawing/2014/main" id="{D2A991A4-D7C7-4619-B047-CB0C8832AC4C}"/>
              </a:ext>
            </a:extLst>
          </xdr:cNvPr>
          <xdr:cNvSpPr/>
        </xdr:nvSpPr>
        <xdr:spPr>
          <a:xfrm>
            <a:off x="361950" y="4257676"/>
            <a:ext cx="5695950" cy="20764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28" name="Step" descr="More information on the web&#10;">
            <a:extLst>
              <a:ext uri="{FF2B5EF4-FFF2-40B4-BE49-F238E27FC236}">
                <a16:creationId xmlns:a16="http://schemas.microsoft.com/office/drawing/2014/main" id="{DA0507A3-65A2-4A27-BE2D-D23069AF1FD1}"/>
              </a:ext>
            </a:extLst>
          </xdr:cNvPr>
          <xdr:cNvSpPr txBox="1"/>
        </xdr:nvSpPr>
        <xdr:spPr>
          <a:xfrm>
            <a:off x="553932" y="4356929"/>
            <a:ext cx="5008668"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29" name="Straight Connector 28" descr="Decorative line">
            <a:extLst>
              <a:ext uri="{FF2B5EF4-FFF2-40B4-BE49-F238E27FC236}">
                <a16:creationId xmlns:a16="http://schemas.microsoft.com/office/drawing/2014/main" id="{B3104255-0CEA-4FDA-A658-47296C06C36F}"/>
              </a:ext>
            </a:extLst>
          </xdr:cNvPr>
          <xdr:cNvCxnSpPr>
            <a:cxnSpLocks/>
          </xdr:cNvCxnSpPr>
        </xdr:nvCxnSpPr>
        <xdr:spPr>
          <a:xfrm>
            <a:off x="553932" y="476529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30" name="Straight Connector 29" descr="Decorative line">
            <a:extLst>
              <a:ext uri="{FF2B5EF4-FFF2-40B4-BE49-F238E27FC236}">
                <a16:creationId xmlns:a16="http://schemas.microsoft.com/office/drawing/2014/main" id="{49D6338B-887A-470A-8EFD-F86CF786FD84}"/>
              </a:ext>
            </a:extLst>
          </xdr:cNvPr>
          <xdr:cNvCxnSpPr>
            <a:cxnSpLocks/>
          </xdr:cNvCxnSpPr>
        </xdr:nvCxnSpPr>
        <xdr:spPr>
          <a:xfrm>
            <a:off x="553932" y="606448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571931</xdr:colOff>
      <xdr:row>20</xdr:row>
      <xdr:rowOff>16594</xdr:rowOff>
    </xdr:from>
    <xdr:to>
      <xdr:col>1</xdr:col>
      <xdr:colOff>2590800</xdr:colOff>
      <xdr:row>21</xdr:row>
      <xdr:rowOff>185173</xdr:rowOff>
    </xdr:to>
    <xdr:grpSp>
      <xdr:nvGrpSpPr>
        <xdr:cNvPr id="6" name="Group 5">
          <a:extLst>
            <a:ext uri="{FF2B5EF4-FFF2-40B4-BE49-F238E27FC236}">
              <a16:creationId xmlns:a16="http://schemas.microsoft.com/office/drawing/2014/main" id="{FFCA9288-014C-4486-980E-27B20766EED2}"/>
            </a:ext>
          </a:extLst>
        </xdr:cNvPr>
        <xdr:cNvGrpSpPr/>
      </xdr:nvGrpSpPr>
      <xdr:grpSpPr>
        <a:xfrm>
          <a:off x="571931" y="4398094"/>
          <a:ext cx="2887549" cy="359079"/>
          <a:chOff x="571931" y="4826719"/>
          <a:chExt cx="2866594" cy="359079"/>
        </a:xfrm>
      </xdr:grpSpPr>
      <xdr:sp macro="" textlink="">
        <xdr:nvSpPr>
          <xdr:cNvPr id="31" name="Step" descr="All about the MIN function, Hyperlinked to web&#10;&#10;">
            <a:hlinkClick xmlns:r="http://schemas.openxmlformats.org/officeDocument/2006/relationships" r:id="rId1" tooltip="Select to learn all about the MIN function on the web"/>
            <a:extLst>
              <a:ext uri="{FF2B5EF4-FFF2-40B4-BE49-F238E27FC236}">
                <a16:creationId xmlns:a16="http://schemas.microsoft.com/office/drawing/2014/main" id="{E268E6C5-C10D-4D45-964B-7EC8CCA4D651}"/>
              </a:ext>
            </a:extLst>
          </xdr:cNvPr>
          <xdr:cNvSpPr txBox="1"/>
        </xdr:nvSpPr>
        <xdr:spPr>
          <a:xfrm>
            <a:off x="1037116" y="49010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32" name="Graphic 22" descr="Arrow">
            <a:hlinkClick xmlns:r="http://schemas.openxmlformats.org/officeDocument/2006/relationships" r:id="rId1" tooltip="Select to learn more from the web"/>
            <a:extLst>
              <a:ext uri="{FF2B5EF4-FFF2-40B4-BE49-F238E27FC236}">
                <a16:creationId xmlns:a16="http://schemas.microsoft.com/office/drawing/2014/main" id="{BD8D1C8C-C851-4E89-B50B-1901F47631F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4826719"/>
            <a:ext cx="492262" cy="359079"/>
          </a:xfrm>
          <a:prstGeom prst="rect">
            <a:avLst/>
          </a:prstGeom>
        </xdr:spPr>
      </xdr:pic>
    </xdr:grpSp>
    <xdr:clientData/>
  </xdr:twoCellAnchor>
  <xdr:twoCellAnchor>
    <xdr:from>
      <xdr:col>0</xdr:col>
      <xdr:colOff>571931</xdr:colOff>
      <xdr:row>22</xdr:row>
      <xdr:rowOff>2521</xdr:rowOff>
    </xdr:from>
    <xdr:to>
      <xdr:col>1</xdr:col>
      <xdr:colOff>2619375</xdr:colOff>
      <xdr:row>23</xdr:row>
      <xdr:rowOff>176410</xdr:rowOff>
    </xdr:to>
    <xdr:grpSp>
      <xdr:nvGrpSpPr>
        <xdr:cNvPr id="5" name="Group 4">
          <a:extLst>
            <a:ext uri="{FF2B5EF4-FFF2-40B4-BE49-F238E27FC236}">
              <a16:creationId xmlns:a16="http://schemas.microsoft.com/office/drawing/2014/main" id="{432B9DC1-07CB-4CB5-9408-142776FE3CE6}"/>
            </a:ext>
          </a:extLst>
        </xdr:cNvPr>
        <xdr:cNvGrpSpPr/>
      </xdr:nvGrpSpPr>
      <xdr:grpSpPr>
        <a:xfrm>
          <a:off x="571931" y="4765021"/>
          <a:ext cx="2916124" cy="364389"/>
          <a:chOff x="571931" y="5193646"/>
          <a:chExt cx="2895169" cy="364389"/>
        </a:xfrm>
      </xdr:grpSpPr>
      <xdr:sp macro="" textlink="">
        <xdr:nvSpPr>
          <xdr:cNvPr id="33" name="Step" descr="All about the MAX function, hyperlinked to web&#10;">
            <a:hlinkClick xmlns:r="http://schemas.openxmlformats.org/officeDocument/2006/relationships" r:id="rId4" tooltip="Select to learn all about the MAX function on the web"/>
            <a:extLst>
              <a:ext uri="{FF2B5EF4-FFF2-40B4-BE49-F238E27FC236}">
                <a16:creationId xmlns:a16="http://schemas.microsoft.com/office/drawing/2014/main" id="{118881C9-E273-4528-B2BB-EADC59D4FCD0}"/>
              </a:ext>
            </a:extLst>
          </xdr:cNvPr>
          <xdr:cNvSpPr txBox="1"/>
        </xdr:nvSpPr>
        <xdr:spPr>
          <a:xfrm>
            <a:off x="1037116" y="52789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34" name="Graphic 22" descr="Arrow">
            <a:hlinkClick xmlns:r="http://schemas.openxmlformats.org/officeDocument/2006/relationships" r:id="rId4" tooltip="Select to learn more from the web"/>
            <a:extLst>
              <a:ext uri="{FF2B5EF4-FFF2-40B4-BE49-F238E27FC236}">
                <a16:creationId xmlns:a16="http://schemas.microsoft.com/office/drawing/2014/main" id="{1814A5AC-5DA3-4400-8D7C-01E449AEA3B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71931" y="5193646"/>
            <a:ext cx="492262" cy="364389"/>
          </a:xfrm>
          <a:prstGeom prst="rect">
            <a:avLst/>
          </a:prstGeom>
        </xdr:spPr>
      </xdr:pic>
    </xdr:grpSp>
    <xdr:clientData/>
  </xdr:twoCellAnchor>
  <xdr:twoCellAnchor>
    <xdr:from>
      <xdr:col>0</xdr:col>
      <xdr:colOff>584540</xdr:colOff>
      <xdr:row>24</xdr:row>
      <xdr:rowOff>41578</xdr:rowOff>
    </xdr:from>
    <xdr:to>
      <xdr:col>1</xdr:col>
      <xdr:colOff>2240842</xdr:colOff>
      <xdr:row>26</xdr:row>
      <xdr:rowOff>24967</xdr:rowOff>
    </xdr:to>
    <xdr:grpSp>
      <xdr:nvGrpSpPr>
        <xdr:cNvPr id="4" name="Group 3">
          <a:extLst>
            <a:ext uri="{FF2B5EF4-FFF2-40B4-BE49-F238E27FC236}">
              <a16:creationId xmlns:a16="http://schemas.microsoft.com/office/drawing/2014/main" id="{742226DB-497C-49F5-B244-A06F92B322A2}"/>
            </a:ext>
          </a:extLst>
        </xdr:cNvPr>
        <xdr:cNvGrpSpPr/>
      </xdr:nvGrpSpPr>
      <xdr:grpSpPr>
        <a:xfrm>
          <a:off x="584540" y="5185078"/>
          <a:ext cx="2524982" cy="356769"/>
          <a:chOff x="584540" y="5613703"/>
          <a:chExt cx="2504027" cy="364389"/>
        </a:xfrm>
      </xdr:grpSpPr>
      <xdr:sp macro="" textlink="">
        <xdr:nvSpPr>
          <xdr:cNvPr id="37"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F83437F7-466E-4778-8A80-A19AB367662B}"/>
              </a:ext>
            </a:extLst>
          </xdr:cNvPr>
          <xdr:cNvSpPr txBox="1"/>
        </xdr:nvSpPr>
        <xdr:spPr>
          <a:xfrm>
            <a:off x="1049724" y="56362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38" name="Graphic 22" descr="Arrow">
            <a:hlinkClick xmlns:r="http://schemas.openxmlformats.org/officeDocument/2006/relationships" r:id="rId5" tooltip="Select to learn more from the web"/>
            <a:extLst>
              <a:ext uri="{FF2B5EF4-FFF2-40B4-BE49-F238E27FC236}">
                <a16:creationId xmlns:a16="http://schemas.microsoft.com/office/drawing/2014/main" id="{9D17680E-9B5E-477A-95F3-62B379C82EE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584540" y="5613703"/>
            <a:ext cx="492262" cy="364389"/>
          </a:xfrm>
          <a:prstGeom prst="rect">
            <a:avLst/>
          </a:prstGeom>
        </xdr:spPr>
      </xdr:pic>
    </xdr:grpSp>
    <xdr:clientData/>
  </xdr:twoCellAnchor>
  <xdr:twoCellAnchor editAs="oneCell">
    <xdr:from>
      <xdr:col>2</xdr:col>
      <xdr:colOff>762000</xdr:colOff>
      <xdr:row>15</xdr:row>
      <xdr:rowOff>152400</xdr:rowOff>
    </xdr:from>
    <xdr:to>
      <xdr:col>7</xdr:col>
      <xdr:colOff>276225</xdr:colOff>
      <xdr:row>25</xdr:row>
      <xdr:rowOff>96710</xdr:rowOff>
    </xdr:to>
    <xdr:grpSp>
      <xdr:nvGrpSpPr>
        <xdr:cNvPr id="39" name="GOOD TO KNOW" descr="GOOD TO KNOW&#10;&#10;">
          <a:extLst>
            <a:ext uri="{FF2B5EF4-FFF2-40B4-BE49-F238E27FC236}">
              <a16:creationId xmlns:a16="http://schemas.microsoft.com/office/drawing/2014/main" id="{1617705E-A557-408B-AB54-5DBE8291A7F8}"/>
            </a:ext>
          </a:extLst>
        </xdr:cNvPr>
        <xdr:cNvGrpSpPr/>
      </xdr:nvGrpSpPr>
      <xdr:grpSpPr>
        <a:xfrm>
          <a:off x="7315200" y="3581400"/>
          <a:ext cx="3331845" cy="1849310"/>
          <a:chOff x="6778625" y="15514765"/>
          <a:chExt cx="3312054" cy="1776285"/>
        </a:xfrm>
      </xdr:grpSpPr>
      <xdr:sp macro="" textlink="">
        <xdr:nvSpPr>
          <xdr:cNvPr id="40" name="Step" descr="GOOD TO KNOW&#10;You can use either MIN or MAX with multiple ranges, or values to show the greater or lesser of those values, like =MIN(A1:A10,B1:B10), or =MAX(A1:A10,B1), where B1 contains a threshold value, like 10, in which case the formula would never return a result less than 10.&#10;&#10;">
            <a:extLst>
              <a:ext uri="{FF2B5EF4-FFF2-40B4-BE49-F238E27FC236}">
                <a16:creationId xmlns:a16="http://schemas.microsoft.com/office/drawing/2014/main" id="{DA9CF6DC-C185-4A57-82E2-BEDA961A6793}"/>
              </a:ext>
            </a:extLst>
          </xdr:cNvPr>
          <xdr:cNvSpPr txBox="1"/>
        </xdr:nvSpPr>
        <xdr:spPr>
          <a:xfrm>
            <a:off x="7042958" y="15665450"/>
            <a:ext cx="3047721"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BON A SAVOIR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Vous pouvez utiliser </a:t>
            </a:r>
            <a:r>
              <a:rPr lang="en-US" sz="1100" b="1" i="0" kern="1200" baseline="0">
                <a:solidFill>
                  <a:schemeClr val="dk1"/>
                </a:solidFill>
                <a:effectLst/>
                <a:latin typeface="+mn-lt"/>
                <a:ea typeface="+mn-ea"/>
                <a:cs typeface="+mn-cs"/>
              </a:rPr>
              <a:t>MIN</a:t>
            </a:r>
            <a:r>
              <a:rPr lang="en-US" sz="1100" b="0" i="0" kern="1200" baseline="0">
                <a:solidFill>
                  <a:schemeClr val="dk1"/>
                </a:solidFill>
                <a:effectLst/>
                <a:latin typeface="+mn-lt"/>
                <a:ea typeface="+mn-ea"/>
                <a:cs typeface="+mn-cs"/>
              </a:rPr>
              <a:t> ou </a:t>
            </a:r>
            <a:r>
              <a:rPr lang="en-US" sz="1100" b="1" i="0" kern="1200" baseline="0">
                <a:solidFill>
                  <a:schemeClr val="dk1"/>
                </a:solidFill>
                <a:effectLst/>
                <a:latin typeface="+mn-lt"/>
                <a:ea typeface="+mn-ea"/>
                <a:cs typeface="+mn-cs"/>
              </a:rPr>
              <a:t>MAX</a:t>
            </a:r>
            <a:r>
              <a:rPr lang="en-US" sz="1100" b="0" i="0" kern="1200" baseline="0">
                <a:solidFill>
                  <a:schemeClr val="dk1"/>
                </a:solidFill>
                <a:effectLst/>
                <a:latin typeface="+mn-lt"/>
                <a:ea typeface="+mn-ea"/>
                <a:cs typeface="+mn-cs"/>
              </a:rPr>
              <a:t> avec plusieurs plages, ou des valeurs pour afficher la plus ou la plus petite de ces valeurs, comme </a:t>
            </a:r>
            <a:r>
              <a:rPr lang="en-US" sz="1100" b="1" i="0" kern="1200" baseline="0">
                <a:solidFill>
                  <a:schemeClr val="dk1"/>
                </a:solidFill>
                <a:effectLst/>
                <a:latin typeface="+mn-lt"/>
                <a:ea typeface="+mn-ea"/>
                <a:cs typeface="+mn-cs"/>
              </a:rPr>
              <a:t>=MIN(A1 :A10,B1 :B10)</a:t>
            </a:r>
            <a:r>
              <a:rPr lang="en-US" sz="1100" b="0" i="0" kern="1200" baseline="0">
                <a:solidFill>
                  <a:schemeClr val="dk1"/>
                </a:solidFill>
                <a:effectLst/>
                <a:latin typeface="+mn-lt"/>
                <a:ea typeface="+mn-ea"/>
                <a:cs typeface="+mn-cs"/>
              </a:rPr>
              <a:t> ou </a:t>
            </a:r>
            <a:r>
              <a:rPr lang="en-US" sz="1100" b="1" i="0" kern="1200" baseline="0">
                <a:solidFill>
                  <a:schemeClr val="dk1"/>
                </a:solidFill>
                <a:effectLst/>
                <a:latin typeface="+mn-lt"/>
                <a:ea typeface="+mn-ea"/>
                <a:cs typeface="+mn-cs"/>
              </a:rPr>
              <a:t>=MAX(A1 :A10,B1)</a:t>
            </a:r>
            <a:r>
              <a:rPr lang="en-US" sz="1100" b="0" i="0" kern="1200" baseline="0">
                <a:solidFill>
                  <a:schemeClr val="dk1"/>
                </a:solidFill>
                <a:effectLst/>
                <a:latin typeface="+mn-lt"/>
                <a:ea typeface="+mn-ea"/>
                <a:cs typeface="+mn-cs"/>
              </a:rPr>
              <a:t>, où </a:t>
            </a:r>
            <a:r>
              <a:rPr lang="en-US" sz="1100" b="1" i="0" kern="1200" baseline="0">
                <a:solidFill>
                  <a:schemeClr val="dk1"/>
                </a:solidFill>
                <a:effectLst/>
                <a:latin typeface="+mn-lt"/>
                <a:ea typeface="+mn-ea"/>
                <a:cs typeface="+mn-cs"/>
              </a:rPr>
              <a:t>B1</a:t>
            </a:r>
            <a:r>
              <a:rPr lang="en-US" sz="1100" b="0" i="0" kern="1200" baseline="0">
                <a:solidFill>
                  <a:schemeClr val="dk1"/>
                </a:solidFill>
                <a:effectLst/>
                <a:latin typeface="+mn-lt"/>
                <a:ea typeface="+mn-ea"/>
                <a:cs typeface="+mn-cs"/>
              </a:rPr>
              <a:t> contient une valeur de seuil, comme </a:t>
            </a:r>
            <a:r>
              <a:rPr lang="en-US" sz="1100" b="1" i="0" kern="1200" baseline="0">
                <a:solidFill>
                  <a:schemeClr val="dk1"/>
                </a:solidFill>
                <a:effectLst/>
                <a:latin typeface="+mn-lt"/>
                <a:ea typeface="+mn-ea"/>
                <a:cs typeface="+mn-cs"/>
              </a:rPr>
              <a:t>10</a:t>
            </a:r>
            <a:r>
              <a:rPr lang="en-US" sz="1100" b="0" i="0" kern="1200" baseline="0">
                <a:solidFill>
                  <a:schemeClr val="dk1"/>
                </a:solidFill>
                <a:effectLst/>
                <a:latin typeface="+mn-lt"/>
                <a:ea typeface="+mn-ea"/>
                <a:cs typeface="+mn-cs"/>
              </a:rPr>
              <a:t>, auquel cas la formule ne renverra jamais un résultat </a:t>
            </a:r>
            <a:r>
              <a:rPr lang="en-US" sz="1100" b="1" i="0" kern="1200" baseline="0">
                <a:solidFill>
                  <a:schemeClr val="dk1"/>
                </a:solidFill>
                <a:effectLst/>
                <a:latin typeface="+mn-lt"/>
                <a:ea typeface="+mn-ea"/>
                <a:cs typeface="+mn-cs"/>
              </a:rPr>
              <a:t>inférieur à 10</a:t>
            </a:r>
            <a:r>
              <a:rPr lang="en-US" sz="1100" b="0" i="0" kern="1200" baseline="0">
                <a:solidFill>
                  <a:schemeClr val="dk1"/>
                </a:solidFill>
                <a:effectLst/>
                <a:latin typeface="+mn-lt"/>
                <a:ea typeface="+mn-ea"/>
                <a:cs typeface="+mn-cs"/>
              </a:rPr>
              <a:t>.</a:t>
            </a:r>
            <a:endParaRPr lang="en-US" sz="1100">
              <a:effectLst/>
              <a:latin typeface="+mn-lt"/>
            </a:endParaRPr>
          </a:p>
        </xdr:txBody>
      </xdr:sp>
      <xdr:pic>
        <xdr:nvPicPr>
          <xdr:cNvPr id="41" name="Graphic 147" descr="Glasses">
            <a:extLst>
              <a:ext uri="{FF2B5EF4-FFF2-40B4-BE49-F238E27FC236}">
                <a16:creationId xmlns:a16="http://schemas.microsoft.com/office/drawing/2014/main" id="{0C5E1E53-3B3A-45B8-9A4D-A647A2A4A50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778625" y="15628855"/>
            <a:ext cx="323347" cy="349115"/>
          </a:xfrm>
          <a:prstGeom prst="rect">
            <a:avLst/>
          </a:prstGeom>
        </xdr:spPr>
      </xdr:pic>
      <xdr:sp macro="" textlink="">
        <xdr:nvSpPr>
          <xdr:cNvPr id="42" name="Freeform: Shape 41" descr="Arrrow">
            <a:extLst>
              <a:ext uri="{FF2B5EF4-FFF2-40B4-BE49-F238E27FC236}">
                <a16:creationId xmlns:a16="http://schemas.microsoft.com/office/drawing/2014/main" id="{BD5A064F-A80A-499D-92F8-64D2BEDF69F1}"/>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absoluteAnchor>
    <xdr:pos x="561975" y="3267075"/>
    <xdr:ext cx="1275170" cy="335449"/>
    <xdr:sp macro="" textlink="">
      <xdr:nvSpPr>
        <xdr:cNvPr id="43" name="PreviousButton" descr="Return to the previous sheet">
          <a:hlinkClick xmlns:r="http://schemas.openxmlformats.org/officeDocument/2006/relationships" r:id="rId8" tooltip="Click here to go back to the previous sheet"/>
          <a:extLst>
            <a:ext uri="{FF2B5EF4-FFF2-40B4-BE49-F238E27FC236}">
              <a16:creationId xmlns:a16="http://schemas.microsoft.com/office/drawing/2014/main" id="{4A8A6AC5-39D2-478E-BABC-4FA14FC159F7}"/>
            </a:ext>
          </a:extLst>
        </xdr:cNvPr>
        <xdr:cNvSpPr/>
      </xdr:nvSpPr>
      <xdr:spPr>
        <a:xfrm flipH="1">
          <a:off x="561975"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Précédent</a:t>
          </a:r>
        </a:p>
      </xdr:txBody>
    </xdr:sp>
    <xdr:clientData fPrintsWithSheet="0"/>
  </xdr:absoluteAnchor>
  <xdr:absoluteAnchor>
    <xdr:pos x="4484736" y="3267075"/>
    <xdr:ext cx="1275170" cy="335449"/>
    <xdr:sp macro="" textlink="">
      <xdr:nvSpPr>
        <xdr:cNvPr id="44" name="NextButton" descr="Advance to the next sheet">
          <a:hlinkClick xmlns:r="http://schemas.openxmlformats.org/officeDocument/2006/relationships" r:id="rId9" tooltip="Click here to advance to the next sheet"/>
          <a:extLst>
            <a:ext uri="{FF2B5EF4-FFF2-40B4-BE49-F238E27FC236}">
              <a16:creationId xmlns:a16="http://schemas.microsoft.com/office/drawing/2014/main" id="{B091AE1C-BD6E-4F50-9366-449007968A7F}"/>
            </a:ext>
          </a:extLst>
        </xdr:cNvPr>
        <xdr:cNvSpPr/>
      </xdr:nvSpPr>
      <xdr:spPr>
        <a:xfrm>
          <a:off x="4484736" y="32670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Suivant</a:t>
          </a:r>
        </a:p>
      </xdr:txBody>
    </xdr:sp>
    <xdr:clientData fPrintsWithSheet="0"/>
  </xdr:absoluteAnchor>
  <xdr:twoCellAnchor>
    <xdr:from>
      <xdr:col>0</xdr:col>
      <xdr:colOff>554805</xdr:colOff>
      <xdr:row>1</xdr:row>
      <xdr:rowOff>85725</xdr:rowOff>
    </xdr:from>
    <xdr:to>
      <xdr:col>1</xdr:col>
      <xdr:colOff>4903020</xdr:colOff>
      <xdr:row>1</xdr:row>
      <xdr:rowOff>85725</xdr:rowOff>
    </xdr:to>
    <xdr:cxnSp macro="">
      <xdr:nvCxnSpPr>
        <xdr:cNvPr id="45" name="Bottom line" descr="Decorative line">
          <a:extLst>
            <a:ext uri="{FF2B5EF4-FFF2-40B4-BE49-F238E27FC236}">
              <a16:creationId xmlns:a16="http://schemas.microsoft.com/office/drawing/2014/main" id="{FAE27880-D0A9-496B-B9C4-3BA9C49EA05F}"/>
            </a:ext>
          </a:extLst>
        </xdr:cNvPr>
        <xdr:cNvCxnSpPr>
          <a:cxnSpLocks/>
        </xdr:cNvCxnSpPr>
      </xdr:nvCxnSpPr>
      <xdr:spPr>
        <a:xfrm>
          <a:off x="554805" y="847725"/>
          <a:ext cx="519594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editAs="absolute">
    <xdr:from>
      <xdr:col>2</xdr:col>
      <xdr:colOff>95250</xdr:colOff>
      <xdr:row>11</xdr:row>
      <xdr:rowOff>122568</xdr:rowOff>
    </xdr:from>
    <xdr:to>
      <xdr:col>6</xdr:col>
      <xdr:colOff>373380</xdr:colOff>
      <xdr:row>22</xdr:row>
      <xdr:rowOff>121920</xdr:rowOff>
    </xdr:to>
    <xdr:grpSp>
      <xdr:nvGrpSpPr>
        <xdr:cNvPr id="110" name="GOOD TO KNOW" descr="GOOD TO KNOW&#10;Excel keeps dates and times based on the number of days starting from January 1, 1900. Times are kept in fractional portions of a day based on minutes.&#10;&#10;So 01/01/2017 12:30 PM is actually stored as 42736.5208.&#10;&#10;">
          <a:extLst>
            <a:ext uri="{FF2B5EF4-FFF2-40B4-BE49-F238E27FC236}">
              <a16:creationId xmlns:a16="http://schemas.microsoft.com/office/drawing/2014/main" id="{5FD1EED7-BA78-459D-8631-C577BE6708FF}"/>
            </a:ext>
          </a:extLst>
        </xdr:cNvPr>
        <xdr:cNvGrpSpPr/>
      </xdr:nvGrpSpPr>
      <xdr:grpSpPr>
        <a:xfrm>
          <a:off x="6648450" y="3033408"/>
          <a:ext cx="4248150" cy="2018652"/>
          <a:chOff x="6778625" y="15449519"/>
          <a:chExt cx="3432175" cy="1428432"/>
        </a:xfrm>
      </xdr:grpSpPr>
      <xdr:sp macro="" textlink="">
        <xdr:nvSpPr>
          <xdr:cNvPr id="111" name="Step"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7BF2997B-A0C3-4169-8E09-CA4590DE712A}"/>
              </a:ext>
            </a:extLst>
          </xdr:cNvPr>
          <xdr:cNvSpPr txBox="1"/>
        </xdr:nvSpPr>
        <xdr:spPr>
          <a:xfrm>
            <a:off x="7042958" y="15665450"/>
            <a:ext cx="3167842" cy="1212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BON A SAVOIR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Excel conserve les dates et les heures en fonction du nombre de jours à partir du </a:t>
            </a:r>
            <a:r>
              <a:rPr lang="en-US" sz="1100" b="1" i="0" kern="1200" baseline="0">
                <a:solidFill>
                  <a:schemeClr val="dk1"/>
                </a:solidFill>
                <a:effectLst/>
                <a:latin typeface="+mn-lt"/>
                <a:ea typeface="+mn-ea"/>
                <a:cs typeface="+mn-cs"/>
              </a:rPr>
              <a:t>1er janvier 1900</a:t>
            </a:r>
            <a:r>
              <a:rPr lang="en-US" sz="1100" b="0" i="0" kern="1200" baseline="0">
                <a:solidFill>
                  <a:schemeClr val="dk1"/>
                </a:solidFill>
                <a:effectLst/>
                <a:latin typeface="+mn-lt"/>
                <a:ea typeface="+mn-ea"/>
                <a:cs typeface="+mn-cs"/>
              </a:rPr>
              <a:t>. Les temps sont conservés en fractions d’une journée en fonction des minutes. Ainsi, </a:t>
            </a:r>
            <a:r>
              <a:rPr lang="en-US" sz="1100" b="1" i="0" kern="1200" baseline="0">
                <a:solidFill>
                  <a:schemeClr val="dk1"/>
                </a:solidFill>
                <a:effectLst/>
                <a:latin typeface="+mn-lt"/>
                <a:ea typeface="+mn-ea"/>
                <a:cs typeface="+mn-cs"/>
              </a:rPr>
              <a:t>01/01/2017 12:30 PM </a:t>
            </a:r>
            <a:r>
              <a:rPr lang="en-US" sz="1100" b="0" i="0" kern="1200" baseline="0">
                <a:solidFill>
                  <a:schemeClr val="dk1"/>
                </a:solidFill>
                <a:effectLst/>
                <a:latin typeface="+mn-lt"/>
                <a:ea typeface="+mn-ea"/>
                <a:cs typeface="+mn-cs"/>
              </a:rPr>
              <a:t>(PM = Post Meridian = Après-midi ; AM = Ante Meridian = Matin)</a:t>
            </a:r>
            <a:r>
              <a:rPr lang="en-US" sz="1100" b="1" i="0" kern="1200" baseline="0">
                <a:solidFill>
                  <a:schemeClr val="dk1"/>
                </a:solidFill>
                <a:effectLst/>
                <a:latin typeface="+mn-lt"/>
                <a:ea typeface="+mn-ea"/>
                <a:cs typeface="+mn-cs"/>
              </a:rPr>
              <a:t> </a:t>
            </a:r>
            <a:r>
              <a:rPr lang="en-US" sz="1100" b="0" i="0" kern="1200" baseline="0">
                <a:solidFill>
                  <a:schemeClr val="dk1"/>
                </a:solidFill>
                <a:effectLst/>
                <a:latin typeface="+mn-lt"/>
                <a:ea typeface="+mn-ea"/>
                <a:cs typeface="+mn-cs"/>
              </a:rPr>
              <a:t>est en fait stocké sous la forme </a:t>
            </a:r>
            <a:r>
              <a:rPr lang="en-US" sz="1100" b="1" i="0" kern="1200" baseline="0">
                <a:solidFill>
                  <a:schemeClr val="dk1"/>
                </a:solidFill>
                <a:effectLst/>
                <a:latin typeface="+mn-lt"/>
                <a:ea typeface="+mn-ea"/>
                <a:cs typeface="+mn-cs"/>
              </a:rPr>
              <a:t>42736.5208</a:t>
            </a:r>
            <a:r>
              <a:rPr lang="en-US" sz="1100" b="0" i="0" kern="1200" baseline="0">
                <a:solidFill>
                  <a:schemeClr val="dk1"/>
                </a:solidFill>
                <a:effectLst/>
                <a:latin typeface="+mn-lt"/>
                <a:ea typeface="+mn-ea"/>
                <a:cs typeface="+mn-cs"/>
              </a:rPr>
              <a:t>. Si l’heure ou la date s’affichent sous forme de nombres comme ça, vous pouvez appuyer </a:t>
            </a:r>
            <a:r>
              <a:rPr lang="en-US" sz="1100" b="1" i="0" kern="1200" baseline="0">
                <a:solidFill>
                  <a:schemeClr val="dk1"/>
                </a:solidFill>
                <a:effectLst/>
                <a:latin typeface="+mn-lt"/>
                <a:ea typeface="+mn-ea"/>
                <a:cs typeface="+mn-cs"/>
              </a:rPr>
              <a:t>sur Ctrl+1 &gt; Numéro &gt; sélectionner un format de date ou d’heure. </a:t>
            </a:r>
            <a:br>
              <a:rPr lang="en-US" sz="1100" b="1" i="0" kern="1200" baseline="0">
                <a:solidFill>
                  <a:schemeClr val="dk1"/>
                </a:solidFill>
                <a:effectLst/>
                <a:latin typeface="+mn-lt"/>
                <a:ea typeface="+mn-ea"/>
                <a:cs typeface="+mn-cs"/>
              </a:rPr>
            </a:br>
            <a:endParaRPr lang="en-US" sz="1100" b="1">
              <a:effectLst/>
              <a:latin typeface="+mn-lt"/>
            </a:endParaRPr>
          </a:p>
        </xdr:txBody>
      </xdr:sp>
      <xdr:pic>
        <xdr:nvPicPr>
          <xdr:cNvPr id="112" name="Graphic 147" descr="Glasses">
            <a:extLst>
              <a:ext uri="{FF2B5EF4-FFF2-40B4-BE49-F238E27FC236}">
                <a16:creationId xmlns:a16="http://schemas.microsoft.com/office/drawing/2014/main" id="{27B9B366-B86D-4174-92BE-C48629B2410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19705"/>
            <a:ext cx="323347" cy="349115"/>
          </a:xfrm>
          <a:prstGeom prst="rect">
            <a:avLst/>
          </a:prstGeom>
        </xdr:spPr>
      </xdr:pic>
      <xdr:sp macro="" textlink="">
        <xdr:nvSpPr>
          <xdr:cNvPr id="113" name="Freeform: Shape 112" descr="Arrrow">
            <a:extLst>
              <a:ext uri="{FF2B5EF4-FFF2-40B4-BE49-F238E27FC236}">
                <a16:creationId xmlns:a16="http://schemas.microsoft.com/office/drawing/2014/main" id="{70DF2B70-E9B4-4B83-9810-DBBCC80FDC11}"/>
              </a:ext>
            </a:extLst>
          </xdr:cNvPr>
          <xdr:cNvSpPr/>
        </xdr:nvSpPr>
        <xdr:spPr>
          <a:xfrm rot="5953034" flipV="1">
            <a:off x="8309328" y="15426786"/>
            <a:ext cx="284005" cy="329471"/>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0</xdr:row>
      <xdr:rowOff>352425</xdr:rowOff>
    </xdr:from>
    <xdr:to>
      <xdr:col>1</xdr:col>
      <xdr:colOff>5623560</xdr:colOff>
      <xdr:row>17</xdr:row>
      <xdr:rowOff>38100</xdr:rowOff>
    </xdr:to>
    <xdr:grpSp>
      <xdr:nvGrpSpPr>
        <xdr:cNvPr id="2" name="Group 1">
          <a:extLst>
            <a:ext uri="{FF2B5EF4-FFF2-40B4-BE49-F238E27FC236}">
              <a16:creationId xmlns:a16="http://schemas.microsoft.com/office/drawing/2014/main" id="{9EC07B18-6CCC-4D21-8D16-EAC636990ABB}"/>
            </a:ext>
          </a:extLst>
        </xdr:cNvPr>
        <xdr:cNvGrpSpPr/>
      </xdr:nvGrpSpPr>
      <xdr:grpSpPr>
        <a:xfrm>
          <a:off x="342900" y="352425"/>
          <a:ext cx="6149340" cy="3701415"/>
          <a:chOff x="342900" y="352425"/>
          <a:chExt cx="5734050" cy="3810000"/>
        </a:xfrm>
      </xdr:grpSpPr>
      <xdr:sp macro="" textlink="">
        <xdr:nvSpPr>
          <xdr:cNvPr id="88" name="txt_TourBackground" descr="Background">
            <a:extLst>
              <a:ext uri="{FF2B5EF4-FFF2-40B4-BE49-F238E27FC236}">
                <a16:creationId xmlns:a16="http://schemas.microsoft.com/office/drawing/2014/main" id="{1B9F331C-35CF-445A-B76D-D6E6332E2CF5}"/>
              </a:ext>
            </a:extLst>
          </xdr:cNvPr>
          <xdr:cNvSpPr/>
        </xdr:nvSpPr>
        <xdr:spPr>
          <a:xfrm>
            <a:off x="342900" y="352425"/>
            <a:ext cx="5734050" cy="3810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7" name="txt_TourHeader" descr="Date functions">
            <a:extLst>
              <a:ext uri="{FF2B5EF4-FFF2-40B4-BE49-F238E27FC236}">
                <a16:creationId xmlns:a16="http://schemas.microsoft.com/office/drawing/2014/main" id="{1EE65C32-27B1-48DD-9EA0-C5AF4DDF9DA1}"/>
              </a:ext>
            </a:extLst>
          </xdr:cNvPr>
          <xdr:cNvSpPr txBox="1"/>
        </xdr:nvSpPr>
        <xdr:spPr>
          <a:xfrm>
            <a:off x="546103" y="446746"/>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Fonctions DATE</a:t>
            </a:r>
            <a:endParaRPr kumimoji="0" lang="en-US" sz="2200" b="0" i="0" u="none" strike="noStrike" kern="0" cap="none" spc="0" normalizeH="0" baseline="0">
              <a:ln>
                <a:noFill/>
              </a:ln>
              <a:solidFill>
                <a:schemeClr val="bg2">
                  <a:lumMod val="25000"/>
                </a:schemeClr>
              </a:solidFill>
              <a:effectLst/>
              <a:uLnTx/>
              <a:uFillTx/>
              <a:latin typeface="Courier New" panose="02070309020205020404" pitchFamily="49" charset="0"/>
              <a:ea typeface="Segoe UI" pitchFamily="34" charset="0"/>
              <a:cs typeface="Courier New" panose="02070309020205020404" pitchFamily="49" charset="0"/>
            </a:endParaRPr>
          </a:p>
        </xdr:txBody>
      </xdr:sp>
      <xdr:cxnSp macro="">
        <xdr:nvCxnSpPr>
          <xdr:cNvPr id="98" name="txt_TourLine1" descr="Decorative line">
            <a:extLst>
              <a:ext uri="{FF2B5EF4-FFF2-40B4-BE49-F238E27FC236}">
                <a16:creationId xmlns:a16="http://schemas.microsoft.com/office/drawing/2014/main" id="{EC0E883E-105A-4156-A84D-D7E17410FCE4}"/>
              </a:ext>
            </a:extLst>
          </xdr:cNvPr>
          <xdr:cNvCxnSpPr>
            <a:cxnSpLocks/>
          </xdr:cNvCxnSpPr>
        </xdr:nvCxnSpPr>
        <xdr:spPr>
          <a:xfrm>
            <a:off x="546103" y="101267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3" name="txt_TourLine2" descr="Decorative line">
            <a:extLst>
              <a:ext uri="{FF2B5EF4-FFF2-40B4-BE49-F238E27FC236}">
                <a16:creationId xmlns:a16="http://schemas.microsoft.com/office/drawing/2014/main" id="{A8B37EE1-E313-4FB9-9B34-9B560124860A}"/>
              </a:ext>
            </a:extLst>
          </xdr:cNvPr>
          <xdr:cNvCxnSpPr>
            <a:cxnSpLocks/>
          </xdr:cNvCxnSpPr>
        </xdr:nvCxnSpPr>
        <xdr:spPr>
          <a:xfrm>
            <a:off x="561288" y="41144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4" name="txt_TourIntro" descr="Excel can give you the current date, based on your computer's regional settings. You can also add and subtract Dates.&#10;">
            <a:extLst>
              <a:ext uri="{FF2B5EF4-FFF2-40B4-BE49-F238E27FC236}">
                <a16:creationId xmlns:a16="http://schemas.microsoft.com/office/drawing/2014/main" id="{1CD4C115-CC7A-486C-867C-2FDD553B15B7}"/>
              </a:ext>
            </a:extLst>
          </xdr:cNvPr>
          <xdr:cNvSpPr txBox="1"/>
        </xdr:nvSpPr>
        <xdr:spPr>
          <a:xfrm>
            <a:off x="581188" y="1045767"/>
            <a:ext cx="5251444" cy="4811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peut vous donner la date du jour, en fonction des paramètres régionaux de votre ordinateur. Vous pouvez également ajouter et soustraire des dates.</a:t>
            </a:r>
          </a:p>
        </xdr:txBody>
      </xdr:sp>
      <xdr:grpSp>
        <xdr:nvGrpSpPr>
          <xdr:cNvPr id="105" name="grp_Step">
            <a:extLst>
              <a:ext uri="{FF2B5EF4-FFF2-40B4-BE49-F238E27FC236}">
                <a16:creationId xmlns:a16="http://schemas.microsoft.com/office/drawing/2014/main" id="{06FF7E03-9CF3-4BF2-97FA-A9B470E37530}"/>
              </a:ext>
            </a:extLst>
          </xdr:cNvPr>
          <xdr:cNvGrpSpPr/>
        </xdr:nvGrpSpPr>
        <xdr:grpSpPr>
          <a:xfrm>
            <a:off x="561975" y="1578607"/>
            <a:ext cx="5467350" cy="850396"/>
            <a:chOff x="600549" y="7810500"/>
            <a:chExt cx="5195285" cy="858766"/>
          </a:xfrm>
        </xdr:grpSpPr>
        <xdr:sp macro="" textlink="">
          <xdr:nvSpPr>
            <xdr:cNvPr id="106" name="txt_Step" descr="Check out the TODAY function, which gives you Today's date. These are live, or volatile functions, so when you open your workbook tomorrow, it will have tomorrow's date. Enter =TODAY() in cell D6. &#10;&#10;">
              <a:extLst>
                <a:ext uri="{FF2B5EF4-FFF2-40B4-BE49-F238E27FC236}">
                  <a16:creationId xmlns:a16="http://schemas.microsoft.com/office/drawing/2014/main" id="{2869B18E-B13C-49FB-B4C9-A2A2A69C0D27}"/>
                </a:ext>
              </a:extLst>
            </xdr:cNvPr>
            <xdr:cNvSpPr txBox="1"/>
          </xdr:nvSpPr>
          <xdr:spPr>
            <a:xfrm>
              <a:off x="1017295" y="7812854"/>
              <a:ext cx="4778539" cy="8564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Découvrez la fonction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AUJOURD’HUI</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qui vous donne la date du jour. Il s’agit de fonctions en direct ou volatiles, de sorte que lorsque vous ouvrez votre classeur demain, il aura la date de demain. Entrez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=AUJOURDHUI()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dans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107" name="shp_Step" descr="1">
              <a:extLst>
                <a:ext uri="{FF2B5EF4-FFF2-40B4-BE49-F238E27FC236}">
                  <a16:creationId xmlns:a16="http://schemas.microsoft.com/office/drawing/2014/main" id="{DAFBA7DB-90FE-4D29-BEDA-99F5C45CAE41}"/>
                </a:ext>
              </a:extLst>
            </xdr:cNvPr>
            <xdr:cNvSpPr/>
          </xdr:nvSpPr>
          <xdr:spPr>
            <a:xfrm>
              <a:off x="600549"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14" name="grp_Step" descr="Subtract Dates - Enter your next birthday in MM/DD/YY format and watch Excel tell you how many days away it is by using =D7-D6.&#10;">
            <a:extLst>
              <a:ext uri="{FF2B5EF4-FFF2-40B4-BE49-F238E27FC236}">
                <a16:creationId xmlns:a16="http://schemas.microsoft.com/office/drawing/2014/main" id="{8949AC7E-881F-4686-B2D3-0D3D90D9B1DC}"/>
              </a:ext>
            </a:extLst>
          </xdr:cNvPr>
          <xdr:cNvGrpSpPr/>
        </xdr:nvGrpSpPr>
        <xdr:grpSpPr>
          <a:xfrm>
            <a:off x="561975" y="2409829"/>
            <a:ext cx="5448300" cy="576040"/>
            <a:chOff x="609600" y="7810500"/>
            <a:chExt cx="5186234" cy="558204"/>
          </a:xfrm>
        </xdr:grpSpPr>
        <xdr:sp macro="" textlink="">
          <xdr:nvSpPr>
            <xdr:cNvPr id="115" name="txt_Step" descr="Subtract Dates - Enter your next birthday in MM/DD/YY format in cell D7, and watch Excel tell you how many days away it is by using =D7-D6 in cell D8.&#10;&#10;">
              <a:extLst>
                <a:ext uri="{FF2B5EF4-FFF2-40B4-BE49-F238E27FC236}">
                  <a16:creationId xmlns:a16="http://schemas.microsoft.com/office/drawing/2014/main" id="{674AF6D9-AA9C-4D64-BAE7-B4CD50116B71}"/>
                </a:ext>
              </a:extLst>
            </xdr:cNvPr>
            <xdr:cNvSpPr txBox="1"/>
          </xdr:nvSpPr>
          <xdr:spPr>
            <a:xfrm>
              <a:off x="1017295" y="7814455"/>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Soustraire les dates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Entrez votre prochain anniversaire au format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MM/JJ/AA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dans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et regardez Excel vous indiquer combien de jours il reste en utilisant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=D7-D6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dans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D8</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16" name="shp_Step" descr="2">
              <a:extLst>
                <a:ext uri="{FF2B5EF4-FFF2-40B4-BE49-F238E27FC236}">
                  <a16:creationId xmlns:a16="http://schemas.microsoft.com/office/drawing/2014/main" id="{E34DF662-0D83-4816-83DC-20F2E0EC0120}"/>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7" name="grp_Step">
            <a:extLst>
              <a:ext uri="{FF2B5EF4-FFF2-40B4-BE49-F238E27FC236}">
                <a16:creationId xmlns:a16="http://schemas.microsoft.com/office/drawing/2014/main" id="{8475192F-E42A-4700-8E84-BC6112DACD7C}"/>
              </a:ext>
            </a:extLst>
          </xdr:cNvPr>
          <xdr:cNvGrpSpPr/>
        </xdr:nvGrpSpPr>
        <xdr:grpSpPr>
          <a:xfrm>
            <a:off x="561977" y="3019420"/>
            <a:ext cx="5457825" cy="1033188"/>
            <a:chOff x="627640" y="7810500"/>
            <a:chExt cx="5168194" cy="1016942"/>
          </a:xfrm>
        </xdr:grpSpPr>
        <xdr:sp macro="" textlink="">
          <xdr:nvSpPr>
            <xdr:cNvPr id="118" name="txt_Step" descr="Add Dates - Let's say you want to know what date a bill is due, or when you need to return a library book. You can add days to a date to find out. In cell D10, enter a random number of days. In cell D11, we added =D6+D10 to calculate the due date from today.&#10;&#10;">
              <a:extLst>
                <a:ext uri="{FF2B5EF4-FFF2-40B4-BE49-F238E27FC236}">
                  <a16:creationId xmlns:a16="http://schemas.microsoft.com/office/drawing/2014/main" id="{37BB0272-2987-4A11-B2B1-9F0CA7972BC1}"/>
                </a:ext>
              </a:extLst>
            </xdr:cNvPr>
            <xdr:cNvSpPr txBox="1"/>
          </xdr:nvSpPr>
          <xdr:spPr>
            <a:xfrm>
              <a:off x="1017295" y="7813856"/>
              <a:ext cx="4778539" cy="1013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Ajouter des dates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Supposons que vous souhaitiez savoir à quelle date une facture est due ou quand vous devez retourner un livre de bibliothèque. Vous pouvez ajouter des jours à une date pour le savoir. Dans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D10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entrez un nombre aléatoire de jours. Dans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D11</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nous avons ajouté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=D6+D10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pour calculer la date d’échéance à partir d’aujourd’hui.</a:t>
              </a:r>
            </a:p>
          </xdr:txBody>
        </xdr:sp>
        <xdr:sp macro="" textlink="">
          <xdr:nvSpPr>
            <xdr:cNvPr id="119" name="shp_Step" descr="3">
              <a:extLst>
                <a:ext uri="{FF2B5EF4-FFF2-40B4-BE49-F238E27FC236}">
                  <a16:creationId xmlns:a16="http://schemas.microsoft.com/office/drawing/2014/main" id="{824C0607-47BE-4C56-BBB4-6FA6522CE93B}"/>
                </a:ext>
              </a:extLst>
            </xdr:cNvPr>
            <xdr:cNvSpPr/>
          </xdr:nvSpPr>
          <xdr:spPr>
            <a:xfrm>
              <a:off x="62764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342900</xdr:colOff>
      <xdr:row>17</xdr:row>
      <xdr:rowOff>53562</xdr:rowOff>
    </xdr:from>
    <xdr:to>
      <xdr:col>1</xdr:col>
      <xdr:colOff>5623560</xdr:colOff>
      <xdr:row>60</xdr:row>
      <xdr:rowOff>52528</xdr:rowOff>
    </xdr:to>
    <xdr:grpSp>
      <xdr:nvGrpSpPr>
        <xdr:cNvPr id="3" name="Group 2">
          <a:extLst>
            <a:ext uri="{FF2B5EF4-FFF2-40B4-BE49-F238E27FC236}">
              <a16:creationId xmlns:a16="http://schemas.microsoft.com/office/drawing/2014/main" id="{1795FAE7-51BD-4A4A-B2DF-46B6749784D2}"/>
            </a:ext>
          </a:extLst>
        </xdr:cNvPr>
        <xdr:cNvGrpSpPr/>
      </xdr:nvGrpSpPr>
      <xdr:grpSpPr>
        <a:xfrm>
          <a:off x="342900" y="4069302"/>
          <a:ext cx="6149340" cy="7900906"/>
          <a:chOff x="342900" y="4189210"/>
          <a:chExt cx="5734050" cy="8463264"/>
        </a:xfrm>
      </xdr:grpSpPr>
      <xdr:grpSp>
        <xdr:nvGrpSpPr>
          <xdr:cNvPr id="120" name="Group 119">
            <a:extLst>
              <a:ext uri="{FF2B5EF4-FFF2-40B4-BE49-F238E27FC236}">
                <a16:creationId xmlns:a16="http://schemas.microsoft.com/office/drawing/2014/main" id="{30906B4C-C81D-469A-8247-06F91D944EB2}"/>
              </a:ext>
            </a:extLst>
          </xdr:cNvPr>
          <xdr:cNvGrpSpPr/>
        </xdr:nvGrpSpPr>
        <xdr:grpSpPr>
          <a:xfrm>
            <a:off x="342900" y="4189210"/>
            <a:ext cx="5734050" cy="8463264"/>
            <a:chOff x="352425" y="4534538"/>
            <a:chExt cx="5734050" cy="8114662"/>
          </a:xfrm>
        </xdr:grpSpPr>
        <xdr:sp macro="" textlink="">
          <xdr:nvSpPr>
            <xdr:cNvPr id="121" name="txt_TourBackground" descr="Background">
              <a:extLst>
                <a:ext uri="{FF2B5EF4-FFF2-40B4-BE49-F238E27FC236}">
                  <a16:creationId xmlns:a16="http://schemas.microsoft.com/office/drawing/2014/main" id="{013EE55B-07EC-4D50-A659-7ADD2D0198D2}"/>
                </a:ext>
              </a:extLst>
            </xdr:cNvPr>
            <xdr:cNvSpPr/>
          </xdr:nvSpPr>
          <xdr:spPr>
            <a:xfrm>
              <a:off x="352425" y="4591050"/>
              <a:ext cx="5734050" cy="8058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22" name="txt_TourHeader" descr="Time functions">
              <a:extLst>
                <a:ext uri="{FF2B5EF4-FFF2-40B4-BE49-F238E27FC236}">
                  <a16:creationId xmlns:a16="http://schemas.microsoft.com/office/drawing/2014/main" id="{E209722A-2C8C-4791-B9C1-5101AA32AB0A}"/>
                </a:ext>
              </a:extLst>
            </xdr:cNvPr>
            <xdr:cNvSpPr txBox="1"/>
          </xdr:nvSpPr>
          <xdr:spPr>
            <a:xfrm>
              <a:off x="596414" y="4534538"/>
              <a:ext cx="5244570" cy="828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Fonctions Temporelles</a:t>
              </a:r>
            </a:p>
          </xdr:txBody>
        </xdr:sp>
        <xdr:cxnSp macro="">
          <xdr:nvCxnSpPr>
            <xdr:cNvPr id="123" name="txt_TourLine1" descr="Decorative line">
              <a:extLst>
                <a:ext uri="{FF2B5EF4-FFF2-40B4-BE49-F238E27FC236}">
                  <a16:creationId xmlns:a16="http://schemas.microsoft.com/office/drawing/2014/main" id="{75A87590-4FA0-4D28-B7A3-E1F7CCD88B3B}"/>
                </a:ext>
              </a:extLst>
            </xdr:cNvPr>
            <xdr:cNvCxnSpPr>
              <a:cxnSpLocks/>
            </xdr:cNvCxnSpPr>
          </xdr:nvCxnSpPr>
          <xdr:spPr>
            <a:xfrm>
              <a:off x="596414" y="5106039"/>
              <a:ext cx="5241164"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4" name="txt_TourLine2" descr="Decorative line">
              <a:extLst>
                <a:ext uri="{FF2B5EF4-FFF2-40B4-BE49-F238E27FC236}">
                  <a16:creationId xmlns:a16="http://schemas.microsoft.com/office/drawing/2014/main" id="{A703583B-6374-4690-B8BC-8D6A61F4DB52}"/>
                </a:ext>
              </a:extLst>
            </xdr:cNvPr>
            <xdr:cNvCxnSpPr>
              <a:cxnSpLocks/>
            </xdr:cNvCxnSpPr>
          </xdr:nvCxnSpPr>
          <xdr:spPr>
            <a:xfrm>
              <a:off x="589309" y="12035893"/>
              <a:ext cx="521879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5" name="txt_TourIntro" descr="Excel can give you the current time, based on your computer's regional settings. You can also add and subtract times. For instance, you might need to keep track of how many hours an employee worked each week, and calculate their pay and overtime.&#10;&#10;">
              <a:extLst>
                <a:ext uri="{FF2B5EF4-FFF2-40B4-BE49-F238E27FC236}">
                  <a16:creationId xmlns:a16="http://schemas.microsoft.com/office/drawing/2014/main" id="{D8BC11B9-1B82-45F8-A69B-BA51910C6977}"/>
                </a:ext>
              </a:extLst>
            </xdr:cNvPr>
            <xdr:cNvSpPr txBox="1"/>
          </xdr:nvSpPr>
          <xdr:spPr>
            <a:xfrm>
              <a:off x="593217" y="5137785"/>
              <a:ext cx="5244570" cy="8287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Excel peut vous donner l’heure actuelle, en fonction des paramètres régionaux de votre ordinateur. Vous pouvez également ajouter et soustraire des temps. Par exemple, vous devrez peut-être garder une trace du nombre d’heures qu’un employé a travaillées chaque semaine, et calculer son salaire et ses heures supplémentaires.</a:t>
              </a:r>
            </a:p>
          </xdr:txBody>
        </xdr:sp>
        <xdr:grpSp>
          <xdr:nvGrpSpPr>
            <xdr:cNvPr id="126" name="Group 125">
              <a:extLst>
                <a:ext uri="{FF2B5EF4-FFF2-40B4-BE49-F238E27FC236}">
                  <a16:creationId xmlns:a16="http://schemas.microsoft.com/office/drawing/2014/main" id="{51E7C080-AEB7-4E6C-8D70-3BBDC2303676}"/>
                </a:ext>
              </a:extLst>
            </xdr:cNvPr>
            <xdr:cNvGrpSpPr/>
          </xdr:nvGrpSpPr>
          <xdr:grpSpPr>
            <a:xfrm>
              <a:off x="573920" y="5970782"/>
              <a:ext cx="5206582" cy="5954518"/>
              <a:chOff x="7193795" y="1017782"/>
              <a:chExt cx="5206582" cy="5954518"/>
            </a:xfrm>
          </xdr:grpSpPr>
          <xdr:grpSp>
            <xdr:nvGrpSpPr>
              <xdr:cNvPr id="127" name="grp_Step">
                <a:extLst>
                  <a:ext uri="{FF2B5EF4-FFF2-40B4-BE49-F238E27FC236}">
                    <a16:creationId xmlns:a16="http://schemas.microsoft.com/office/drawing/2014/main" id="{AAE10329-58E6-4043-B19B-2070B24369C8}"/>
                  </a:ext>
                </a:extLst>
              </xdr:cNvPr>
              <xdr:cNvGrpSpPr/>
            </xdr:nvGrpSpPr>
            <xdr:grpSpPr>
              <a:xfrm>
                <a:off x="7193795" y="1017782"/>
                <a:ext cx="5206582" cy="596207"/>
                <a:chOff x="488322" y="7685282"/>
                <a:chExt cx="5201274" cy="596207"/>
              </a:xfrm>
            </xdr:grpSpPr>
            <xdr:sp macro="" textlink="">
              <xdr:nvSpPr>
                <xdr:cNvPr id="149" name="txt_Step" descr="In cell D28, enter =NOW(), which will give the current time, and will update each time Excel calculates. If you need to change the Time format, you can go to Ctrl+1 &gt; Number &gt; Time &gt; Select the format you want.&#10;&#10;&#10;&#10;">
                  <a:extLst>
                    <a:ext uri="{FF2B5EF4-FFF2-40B4-BE49-F238E27FC236}">
                      <a16:creationId xmlns:a16="http://schemas.microsoft.com/office/drawing/2014/main" id="{E9EDD045-804A-43D1-9571-BDF7D36C6FD0}"/>
                    </a:ext>
                  </a:extLst>
                </xdr:cNvPr>
                <xdr:cNvSpPr txBox="1"/>
              </xdr:nvSpPr>
              <xdr:spPr>
                <a:xfrm>
                  <a:off x="911057" y="7727240"/>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Dans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D28</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entrez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=MAINTENANT()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qui donnera l’heure actuelle et sera mis à jour à chaque fois qu’Excel calcule. Si vous devez modifier le format de l’heure, vous pouvez aller à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Ctrl+1 &gt; Numéro &gt; Heure &gt;</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Sélectionnez le format que vous souhaitez.</a:t>
                  </a:r>
                </a:p>
              </xdr:txBody>
            </xdr:sp>
            <xdr:sp macro="" textlink="">
              <xdr:nvSpPr>
                <xdr:cNvPr id="150" name="shp_Step" descr="1">
                  <a:extLst>
                    <a:ext uri="{FF2B5EF4-FFF2-40B4-BE49-F238E27FC236}">
                      <a16:creationId xmlns:a16="http://schemas.microsoft.com/office/drawing/2014/main" id="{43143942-F7A9-4AD3-81E2-7C90A9BD32F5}"/>
                    </a:ext>
                  </a:extLst>
                </xdr:cNvPr>
                <xdr:cNvSpPr/>
              </xdr:nvSpPr>
              <xdr:spPr>
                <a:xfrm>
                  <a:off x="488322" y="7685282"/>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8" name="grp_Step">
                <a:extLst>
                  <a:ext uri="{FF2B5EF4-FFF2-40B4-BE49-F238E27FC236}">
                    <a16:creationId xmlns:a16="http://schemas.microsoft.com/office/drawing/2014/main" id="{FCFD70FD-C355-4B74-9752-B828C322CD76}"/>
                  </a:ext>
                </a:extLst>
              </xdr:cNvPr>
              <xdr:cNvGrpSpPr/>
            </xdr:nvGrpSpPr>
            <xdr:grpSpPr>
              <a:xfrm>
                <a:off x="7200900" y="1823770"/>
                <a:ext cx="5131354" cy="1349742"/>
                <a:chOff x="525612" y="7399994"/>
                <a:chExt cx="5481023" cy="1291932"/>
              </a:xfrm>
            </xdr:grpSpPr>
            <xdr:sp macro="" textlink="">
              <xdr:nvSpPr>
                <xdr:cNvPr id="147" name="txt_Step" descr="Add up hours between times - In cell D36 we've entered =((D35-D32)-(D34-D33))*24, which calculates someone's start and end times, then subracts the time they took for lunch. The *24 at the end of the formula converts the fractional portion of the day that Excel sees into hours. You'll need to format the cell as a Number though. To do that, go to Home &gt; Format &gt; Cells (Ctrl+1) &gt; Number &gt; Number &gt; 2 decimals.&#10;&#10;&#10;">
                  <a:extLst>
                    <a:ext uri="{FF2B5EF4-FFF2-40B4-BE49-F238E27FC236}">
                      <a16:creationId xmlns:a16="http://schemas.microsoft.com/office/drawing/2014/main" id="{0EFBDF0F-AC77-476D-A83B-91831148AC0B}"/>
                    </a:ext>
                  </a:extLst>
                </xdr:cNvPr>
                <xdr:cNvSpPr txBox="1"/>
              </xdr:nvSpPr>
              <xdr:spPr>
                <a:xfrm>
                  <a:off x="947257" y="7399994"/>
                  <a:ext cx="5059378" cy="12919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Additionner les heures entre les heures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Dans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nous avons saisi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=((D35-D32)-(D34-D33))*24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qui calcule les heures de début et de fin d’une personne, puis déduit le temps qu’elle a pris pour déjeuner. Le *24 à la fin de la formule convertit la partie fractionnée de la journée qu’Excel voit en heures. Vous devrez cependant formater la cellule en tant que nombre. Pour ce faire, allez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dans Accueil &gt; Format &gt; cellules (Ctrl+1) &gt; Nombre &gt; Nombre &gt; 2 décimales.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48" name="shp_Step" descr="2">
                  <a:extLst>
                    <a:ext uri="{FF2B5EF4-FFF2-40B4-BE49-F238E27FC236}">
                      <a16:creationId xmlns:a16="http://schemas.microsoft.com/office/drawing/2014/main" id="{01C2BD5A-43C6-4B2A-81C9-44F9293E1619}"/>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29" name="grp_Step">
                <a:extLst>
                  <a:ext uri="{FF2B5EF4-FFF2-40B4-BE49-F238E27FC236}">
                    <a16:creationId xmlns:a16="http://schemas.microsoft.com/office/drawing/2014/main" id="{37BDA65B-35DA-46DF-B41B-4F13939916CE}"/>
                  </a:ext>
                </a:extLst>
              </xdr:cNvPr>
              <xdr:cNvGrpSpPr/>
            </xdr:nvGrpSpPr>
            <xdr:grpSpPr>
              <a:xfrm>
                <a:off x="7200900" y="3157540"/>
                <a:ext cx="5159775" cy="634242"/>
                <a:chOff x="525612" y="7419975"/>
                <a:chExt cx="5511381" cy="607077"/>
              </a:xfrm>
            </xdr:grpSpPr>
            <xdr:sp macro="" textlink="">
              <xdr:nvSpPr>
                <xdr:cNvPr id="145" name="txt_Step" descr="If this formula could talk, it would say, &quot;Take the Time Out and subtract it from the Time In, then subtract the Lunch Out/In Times, then multiply those by 24 to convert Excel's fractional time to hours&quot;, or =((Time In - Time Out)-(Lunch In - Lunch Out))*24.">
                  <a:extLst>
                    <a:ext uri="{FF2B5EF4-FFF2-40B4-BE49-F238E27FC236}">
                      <a16:creationId xmlns:a16="http://schemas.microsoft.com/office/drawing/2014/main" id="{48EA3D5E-AB73-4DC6-A8F8-8EECF1D29572}"/>
                    </a:ext>
                  </a:extLst>
                </xdr:cNvPr>
                <xdr:cNvSpPr txBox="1"/>
              </xdr:nvSpPr>
              <xdr:spPr>
                <a:xfrm>
                  <a:off x="977615" y="7459922"/>
                  <a:ext cx="5059378" cy="5671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Si cette formule pouvait parler, elle dirait : « Prenez le temps mort et soustrayez-le du temps d’entrée, puis soustrayez les heures de déjeuner/heure d’entrée, puis multipliez-les par 24 pour convertir le temps fractionnel d’Excel en heures », ou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=((Heure d’entrée - Heure de sortie)-(Début du Déjeuner - Fin du Déjeuner))*24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146" name="shp_Step" descr="3">
                  <a:extLst>
                    <a:ext uri="{FF2B5EF4-FFF2-40B4-BE49-F238E27FC236}">
                      <a16:creationId xmlns:a16="http://schemas.microsoft.com/office/drawing/2014/main" id="{A80445FC-915C-4C80-84C7-4F5844E68106}"/>
                    </a:ext>
                  </a:extLst>
                </xdr:cNvPr>
                <xdr:cNvSpPr/>
              </xdr:nvSpPr>
              <xdr:spPr>
                <a:xfrm>
                  <a:off x="525612"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nvGrpSpPr>
              <xdr:cNvPr id="130" name="Group 129">
                <a:extLst>
                  <a:ext uri="{FF2B5EF4-FFF2-40B4-BE49-F238E27FC236}">
                    <a16:creationId xmlns:a16="http://schemas.microsoft.com/office/drawing/2014/main" id="{DF713144-AD4F-445E-9EBF-373B4699DB59}"/>
                  </a:ext>
                </a:extLst>
              </xdr:cNvPr>
              <xdr:cNvGrpSpPr/>
            </xdr:nvGrpSpPr>
            <xdr:grpSpPr>
              <a:xfrm>
                <a:off x="7590469" y="4000501"/>
                <a:ext cx="4639635" cy="2971799"/>
                <a:chOff x="7492269" y="4047523"/>
                <a:chExt cx="4938276" cy="2819576"/>
              </a:xfrm>
            </xdr:grpSpPr>
            <xdr:sp macro="" textlink="">
              <xdr:nvSpPr>
                <xdr:cNvPr id="131" name="FormulaBraceLower">
                  <a:extLst>
                    <a:ext uri="{FF2B5EF4-FFF2-40B4-BE49-F238E27FC236}">
                      <a16:creationId xmlns:a16="http://schemas.microsoft.com/office/drawing/2014/main" id="{A3F3B087-00D2-476D-AC4C-EB3A04318A49}"/>
                    </a:ext>
                  </a:extLst>
                </xdr:cNvPr>
                <xdr:cNvSpPr/>
              </xdr:nvSpPr>
              <xdr:spPr>
                <a:xfrm rot="16200000">
                  <a:off x="8852737" y="5133834"/>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2" name="FormulaBraceUpper">
                  <a:extLst>
                    <a:ext uri="{FF2B5EF4-FFF2-40B4-BE49-F238E27FC236}">
                      <a16:creationId xmlns:a16="http://schemas.microsoft.com/office/drawing/2014/main" id="{7C65B1CB-F7F0-4F37-A997-175F5CFFD7C0}"/>
                    </a:ext>
                  </a:extLst>
                </xdr:cNvPr>
                <xdr:cNvSpPr/>
              </xdr:nvSpPr>
              <xdr:spPr>
                <a:xfrm rot="5400000">
                  <a:off x="11108486" y="4521673"/>
                  <a:ext cx="478111" cy="4953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3" name="FormulaBraceUpper">
                  <a:extLst>
                    <a:ext uri="{FF2B5EF4-FFF2-40B4-BE49-F238E27FC236}">
                      <a16:creationId xmlns:a16="http://schemas.microsoft.com/office/drawing/2014/main" id="{CF6D3514-478A-4DBA-A8E4-F612350013B5}"/>
                    </a:ext>
                  </a:extLst>
                </xdr:cNvPr>
                <xdr:cNvSpPr/>
              </xdr:nvSpPr>
              <xdr:spPr>
                <a:xfrm rot="5400000">
                  <a:off x="8247253" y="4478955"/>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4" name="txt_Formula" descr="=((D35-D32)-(D34-D33))*24&#10;">
                  <a:extLst>
                    <a:ext uri="{FF2B5EF4-FFF2-40B4-BE49-F238E27FC236}">
                      <a16:creationId xmlns:a16="http://schemas.microsoft.com/office/drawing/2014/main" id="{6009CED5-1433-4E1F-B008-D29EAE95FC7A}"/>
                    </a:ext>
                  </a:extLst>
                </xdr:cNvPr>
                <xdr:cNvSpPr txBox="1"/>
              </xdr:nvSpPr>
              <xdr:spPr>
                <a:xfrm>
                  <a:off x="7777163" y="4886325"/>
                  <a:ext cx="4181475" cy="3360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=((D35-D32)-(D34-D33))*24</a:t>
                  </a:r>
                  <a:endParaRPr lang="en-US" sz="2000">
                    <a:effectLst/>
                    <a:latin typeface="Times New Roman" panose="02020603050405020304" pitchFamily="18" charset="0"/>
                    <a:ea typeface="Times New Roman" panose="02020603050405020304" pitchFamily="18" charset="0"/>
                  </a:endParaRPr>
                </a:p>
              </xdr:txBody>
            </xdr:sp>
            <xdr:sp macro="" textlink="">
              <xdr:nvSpPr>
                <xdr:cNvPr id="135" name="txt_FormulaCalloutUpper" descr="Time Out&#10;&#10;">
                  <a:extLst>
                    <a:ext uri="{FF2B5EF4-FFF2-40B4-BE49-F238E27FC236}">
                      <a16:creationId xmlns:a16="http://schemas.microsoft.com/office/drawing/2014/main" id="{9F9E3A72-C781-4703-B4D3-DB7F87F8E5A1}"/>
                    </a:ext>
                  </a:extLst>
                </xdr:cNvPr>
                <xdr:cNvSpPr txBox="1">
                  <a:spLocks noChangeArrowheads="1"/>
                </xdr:cNvSpPr>
              </xdr:nvSpPr>
              <xdr:spPr bwMode="auto">
                <a:xfrm>
                  <a:off x="7953596" y="4338638"/>
                  <a:ext cx="1089035"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Heure de sortie</a:t>
                  </a:r>
                </a:p>
              </xdr:txBody>
            </xdr:sp>
            <xdr:sp macro="" textlink="">
              <xdr:nvSpPr>
                <xdr:cNvPr id="136" name="txt_FormulaCalloutUpper" descr="*24 to convert Excel's fraction of a day to hours&#10;&#10;">
                  <a:extLst>
                    <a:ext uri="{FF2B5EF4-FFF2-40B4-BE49-F238E27FC236}">
                      <a16:creationId xmlns:a16="http://schemas.microsoft.com/office/drawing/2014/main" id="{2C1C0812-CC81-4B65-BB0C-BE1F6D5C5B38}"/>
                    </a:ext>
                  </a:extLst>
                </xdr:cNvPr>
                <xdr:cNvSpPr txBox="1">
                  <a:spLocks noChangeArrowheads="1"/>
                </xdr:cNvSpPr>
              </xdr:nvSpPr>
              <xdr:spPr bwMode="auto">
                <a:xfrm>
                  <a:off x="10763670" y="4047523"/>
                  <a:ext cx="1666875" cy="57210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*24 pour convertir la fraction</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d'une journée Excel en heures</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37" name="txt_FormulaCalloutLower" descr="Time In&#10;">
                  <a:extLst>
                    <a:ext uri="{FF2B5EF4-FFF2-40B4-BE49-F238E27FC236}">
                      <a16:creationId xmlns:a16="http://schemas.microsoft.com/office/drawing/2014/main" id="{5E5338FF-C2B1-4DA0-AE11-AC6DC9A18383}"/>
                    </a:ext>
                  </a:extLst>
                </xdr:cNvPr>
                <xdr:cNvSpPr txBox="1">
                  <a:spLocks noChangeArrowheads="1"/>
                </xdr:cNvSpPr>
              </xdr:nvSpPr>
              <xdr:spPr bwMode="auto">
                <a:xfrm>
                  <a:off x="8581304" y="5447441"/>
                  <a:ext cx="1058784"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Heure d'entrée</a:t>
                  </a:r>
                </a:p>
              </xdr:txBody>
            </xdr:sp>
            <xdr:sp macro="" textlink="">
              <xdr:nvSpPr>
                <xdr:cNvPr id="138" name="FormulaBraceLower">
                  <a:extLst>
                    <a:ext uri="{FF2B5EF4-FFF2-40B4-BE49-F238E27FC236}">
                      <a16:creationId xmlns:a16="http://schemas.microsoft.com/office/drawing/2014/main" id="{A4A9F5A5-EF16-4EE5-91AA-7223F0B363A9}"/>
                    </a:ext>
                  </a:extLst>
                </xdr:cNvPr>
                <xdr:cNvSpPr/>
              </xdr:nvSpPr>
              <xdr:spPr>
                <a:xfrm rot="16200000">
                  <a:off x="10344931" y="5103558"/>
                  <a:ext cx="478110" cy="493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9" name="FormulaBraceUpper">
                  <a:extLst>
                    <a:ext uri="{FF2B5EF4-FFF2-40B4-BE49-F238E27FC236}">
                      <a16:creationId xmlns:a16="http://schemas.microsoft.com/office/drawing/2014/main" id="{E9FAA5E1-CE6E-4068-9309-7BEC7468CAD9}"/>
                    </a:ext>
                  </a:extLst>
                </xdr:cNvPr>
                <xdr:cNvSpPr/>
              </xdr:nvSpPr>
              <xdr:spPr>
                <a:xfrm rot="5400000">
                  <a:off x="9726457" y="4500657"/>
                  <a:ext cx="478111" cy="49275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CalloutUpper" descr="Lunch  Out&#10;">
                  <a:extLst>
                    <a:ext uri="{FF2B5EF4-FFF2-40B4-BE49-F238E27FC236}">
                      <a16:creationId xmlns:a16="http://schemas.microsoft.com/office/drawing/2014/main" id="{AC3DD593-CF51-4FD3-853B-AF9786C1FA03}"/>
                    </a:ext>
                  </a:extLst>
                </xdr:cNvPr>
                <xdr:cNvSpPr txBox="1">
                  <a:spLocks noChangeArrowheads="1"/>
                </xdr:cNvSpPr>
              </xdr:nvSpPr>
              <xdr:spPr bwMode="auto">
                <a:xfrm>
                  <a:off x="9511522" y="4352914"/>
                  <a:ext cx="1111724" cy="27432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Fin du déjeuner</a:t>
                  </a:r>
                </a:p>
              </xdr:txBody>
            </xdr:sp>
            <xdr:sp macro="" textlink="">
              <xdr:nvSpPr>
                <xdr:cNvPr id="141" name="txt_FormulaCalloutLower" descr="Lunch In&#10;&#10;">
                  <a:extLst>
                    <a:ext uri="{FF2B5EF4-FFF2-40B4-BE49-F238E27FC236}">
                      <a16:creationId xmlns:a16="http://schemas.microsoft.com/office/drawing/2014/main" id="{B855D0A5-2977-4D62-AD0B-843A0716AFBA}"/>
                    </a:ext>
                  </a:extLst>
                </xdr:cNvPr>
                <xdr:cNvSpPr txBox="1">
                  <a:spLocks noChangeArrowheads="1"/>
                </xdr:cNvSpPr>
              </xdr:nvSpPr>
              <xdr:spPr bwMode="auto">
                <a:xfrm>
                  <a:off x="10010663" y="5461717"/>
                  <a:ext cx="1391545" cy="274320"/>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Début du</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déjeuner</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2" name="FormulaBraceLower">
                  <a:extLst>
                    <a:ext uri="{FF2B5EF4-FFF2-40B4-BE49-F238E27FC236}">
                      <a16:creationId xmlns:a16="http://schemas.microsoft.com/office/drawing/2014/main" id="{5250274B-2899-460D-B59C-3A1662F7E28C}"/>
                    </a:ext>
                  </a:extLst>
                </xdr:cNvPr>
                <xdr:cNvSpPr/>
              </xdr:nvSpPr>
              <xdr:spPr>
                <a:xfrm rot="16200000">
                  <a:off x="8659276" y="5511142"/>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3" name="FormulaBraceLower">
                  <a:extLst>
                    <a:ext uri="{FF2B5EF4-FFF2-40B4-BE49-F238E27FC236}">
                      <a16:creationId xmlns:a16="http://schemas.microsoft.com/office/drawing/2014/main" id="{1D36D39A-C164-4F79-A807-42C3A0A9EA22}"/>
                    </a:ext>
                  </a:extLst>
                </xdr:cNvPr>
                <xdr:cNvSpPr/>
              </xdr:nvSpPr>
              <xdr:spPr>
                <a:xfrm rot="16200000">
                  <a:off x="10208905" y="5506379"/>
                  <a:ext cx="478110" cy="123825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44" name="txt_FormulaCalloutLower" descr="The inner parentheses () make sure Excel calculates those                                   parts of the formula by themselves. The outer parentheses make sure Excel multiplies the final inner result by 24.&#10;&#10;">
                  <a:extLst>
                    <a:ext uri="{FF2B5EF4-FFF2-40B4-BE49-F238E27FC236}">
                      <a16:creationId xmlns:a16="http://schemas.microsoft.com/office/drawing/2014/main" id="{791ADF03-B2CC-43DD-B52D-595B3D32B386}"/>
                    </a:ext>
                  </a:extLst>
                </xdr:cNvPr>
                <xdr:cNvSpPr txBox="1">
                  <a:spLocks noChangeArrowheads="1"/>
                </xdr:cNvSpPr>
              </xdr:nvSpPr>
              <xdr:spPr bwMode="auto">
                <a:xfrm>
                  <a:off x="7492269" y="6276974"/>
                  <a:ext cx="4862844" cy="59012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gn="ctr">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Les parenthèses intérieures () permettent de s’assurer qu’Excel calcule ces parties de la formule par elles-mêmes. Les parenthèses extérieures permettent de s’assurer qu’Excel multiplie le résultat intérieur final par 24.</a:t>
                  </a:r>
                </a:p>
              </xdr:txBody>
            </xdr:sp>
          </xdr:grpSp>
        </xdr:grpSp>
      </xdr:grpSp>
      <xdr:sp macro="" textlink="">
        <xdr:nvSpPr>
          <xdr:cNvPr id="151" name="PreviousButton" descr="Return to the previous sheet">
            <a:hlinkClick xmlns:r="http://schemas.openxmlformats.org/officeDocument/2006/relationships" r:id="rId3" tooltip="Click here to go back to the previous sheet"/>
            <a:extLst>
              <a:ext uri="{FF2B5EF4-FFF2-40B4-BE49-F238E27FC236}">
                <a16:creationId xmlns:a16="http://schemas.microsoft.com/office/drawing/2014/main" id="{FCEE4E56-0B89-4F5D-A0A7-90EECC03D116}"/>
              </a:ext>
            </a:extLst>
          </xdr:cNvPr>
          <xdr:cNvSpPr/>
        </xdr:nvSpPr>
        <xdr:spPr>
          <a:xfrm flipH="1">
            <a:off x="609600"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Précédent</a:t>
            </a:r>
          </a:p>
        </xdr:txBody>
      </xdr:sp>
      <xdr:sp macro="" textlink="">
        <xdr:nvSpPr>
          <xdr:cNvPr id="152" name="NextButton" descr="Advance to the next sheet">
            <a:hlinkClick xmlns:r="http://schemas.openxmlformats.org/officeDocument/2006/relationships" r:id="rId4" tooltip="Click here to advance to the next sheet"/>
            <a:extLst>
              <a:ext uri="{FF2B5EF4-FFF2-40B4-BE49-F238E27FC236}">
                <a16:creationId xmlns:a16="http://schemas.microsoft.com/office/drawing/2014/main" id="{892C894D-1A63-4276-98DF-57872191F092}"/>
              </a:ext>
            </a:extLst>
          </xdr:cNvPr>
          <xdr:cNvSpPr/>
        </xdr:nvSpPr>
        <xdr:spPr>
          <a:xfrm>
            <a:off x="4532361" y="1216342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Suivant</a:t>
            </a:r>
          </a:p>
        </xdr:txBody>
      </xdr:sp>
    </xdr:grpSp>
    <xdr:clientData/>
  </xdr:twoCellAnchor>
  <xdr:twoCellAnchor editAs="absolute">
    <xdr:from>
      <xdr:col>1</xdr:col>
      <xdr:colOff>5486400</xdr:colOff>
      <xdr:row>49</xdr:row>
      <xdr:rowOff>98059</xdr:rowOff>
    </xdr:from>
    <xdr:to>
      <xdr:col>4</xdr:col>
      <xdr:colOff>472440</xdr:colOff>
      <xdr:row>57</xdr:row>
      <xdr:rowOff>28575</xdr:rowOff>
    </xdr:to>
    <xdr:grpSp>
      <xdr:nvGrpSpPr>
        <xdr:cNvPr id="153" name="Group 152">
          <a:extLst>
            <a:ext uri="{FF2B5EF4-FFF2-40B4-BE49-F238E27FC236}">
              <a16:creationId xmlns:a16="http://schemas.microsoft.com/office/drawing/2014/main" id="{5099300F-1CF9-4951-9904-72E39FABE751}"/>
            </a:ext>
          </a:extLst>
        </xdr:cNvPr>
        <xdr:cNvGrpSpPr/>
      </xdr:nvGrpSpPr>
      <xdr:grpSpPr>
        <a:xfrm>
          <a:off x="6355080" y="10004059"/>
          <a:ext cx="3421380" cy="1393556"/>
          <a:chOff x="6391275" y="8658225"/>
          <a:chExt cx="3190875" cy="1314450"/>
        </a:xfrm>
      </xdr:grpSpPr>
      <xdr:sp macro="" textlink="">
        <xdr:nvSpPr>
          <xdr:cNvPr id="154" name="Step" descr="GOOD TO KNOW&#10;You can use keyboard shortcuts to enter Dates and Times that won't continuously change:&#10;&#10;Date - Ctl+; &#10;Time - Ctrl+Shift+:&#10;">
            <a:extLst>
              <a:ext uri="{FF2B5EF4-FFF2-40B4-BE49-F238E27FC236}">
                <a16:creationId xmlns:a16="http://schemas.microsoft.com/office/drawing/2014/main" id="{B34ACC4B-6898-43D7-8CE0-22EF795B1C15}"/>
              </a:ext>
            </a:extLst>
          </xdr:cNvPr>
          <xdr:cNvSpPr txBox="1"/>
        </xdr:nvSpPr>
        <xdr:spPr>
          <a:xfrm>
            <a:off x="6637024" y="8769732"/>
            <a:ext cx="2945126" cy="1202943"/>
          </a:xfrm>
          <a:prstGeom prst="rect">
            <a:avLst/>
          </a:prstGeom>
          <a:solidFill>
            <a:schemeClr val="bg1"/>
          </a:solidFill>
          <a:ln w="9525" cmpd="sng">
            <a:solidFill>
              <a:schemeClr val="accent1"/>
            </a:solid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BON A SAVOIR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Vous pouvez utiliser les raccourcis clavier, pour entrer des dates et heures qui ne changeront pas continuellement:</a:t>
            </a:r>
          </a:p>
          <a:p>
            <a:pPr algn="ctr" eaLnBrk="1" fontAlgn="auto" latinLnBrk="0" hangingPunct="1"/>
            <a:endParaRPr lang="en-US" sz="1100" b="0" i="0" kern="1200" baseline="0">
              <a:solidFill>
                <a:schemeClr val="dk1"/>
              </a:solidFill>
              <a:effectLst/>
              <a:latin typeface="+mn-lt"/>
              <a:ea typeface="+mn-ea"/>
              <a:cs typeface="+mn-cs"/>
            </a:endParaRPr>
          </a:p>
          <a:p>
            <a:pPr algn="ctr" eaLnBrk="1" fontAlgn="auto" latinLnBrk="0" hangingPunct="1"/>
            <a:r>
              <a:rPr lang="en-US" sz="1100" b="0" i="0" kern="1200" baseline="0">
                <a:solidFill>
                  <a:schemeClr val="dk1"/>
                </a:solidFill>
                <a:effectLst/>
                <a:latin typeface="+mn-lt"/>
                <a:ea typeface="+mn-ea"/>
                <a:cs typeface="+mn-cs"/>
              </a:rPr>
              <a:t>Date - "</a:t>
            </a:r>
            <a:r>
              <a:rPr lang="en-US" sz="1100" b="1" i="0" kern="1200" baseline="0">
                <a:solidFill>
                  <a:schemeClr val="dk1"/>
                </a:solidFill>
                <a:effectLst/>
                <a:latin typeface="+mn-lt"/>
                <a:ea typeface="+mn-ea"/>
                <a:cs typeface="+mn-cs"/>
              </a:rPr>
              <a:t>Ctrl+" </a:t>
            </a:r>
            <a:r>
              <a:rPr lang="en-US" sz="1100" b="1" i="0" kern="1200" baseline="0">
                <a:solidFill>
                  <a:schemeClr val="accent2"/>
                </a:solidFill>
                <a:effectLst/>
                <a:latin typeface="+mn-lt"/>
                <a:ea typeface="+mn-ea"/>
                <a:cs typeface="+mn-cs"/>
              </a:rPr>
              <a:t>+</a:t>
            </a:r>
            <a:r>
              <a:rPr lang="en-US" sz="1100" b="1" i="0" kern="1200" baseline="0">
                <a:solidFill>
                  <a:schemeClr val="dk1"/>
                </a:solidFill>
                <a:effectLst/>
                <a:latin typeface="+mn-lt"/>
                <a:ea typeface="+mn-ea"/>
                <a:cs typeface="+mn-cs"/>
              </a:rPr>
              <a:t>  ";"</a:t>
            </a:r>
            <a:r>
              <a:rPr lang="en-US" sz="1100" b="0" i="0" kern="1200" baseline="0">
                <a:solidFill>
                  <a:schemeClr val="dk1"/>
                </a:solidFill>
                <a:effectLst/>
                <a:latin typeface="+mn-lt"/>
                <a:ea typeface="+mn-ea"/>
                <a:cs typeface="+mn-cs"/>
              </a:rPr>
              <a:t> </a:t>
            </a:r>
          </a:p>
          <a:p>
            <a:pPr algn="ctr" eaLnBrk="1" fontAlgn="auto" latinLnBrk="0" hangingPunct="1"/>
            <a:r>
              <a:rPr lang="en-US" sz="1100" b="0" i="0" kern="1200" baseline="0">
                <a:solidFill>
                  <a:schemeClr val="dk1"/>
                </a:solidFill>
                <a:effectLst/>
                <a:latin typeface="+mn-lt"/>
                <a:ea typeface="+mn-ea"/>
                <a:cs typeface="+mn-cs"/>
              </a:rPr>
              <a:t>Heure - "</a:t>
            </a:r>
            <a:r>
              <a:rPr lang="en-US" sz="1100" b="1" i="0" kern="1200" baseline="0">
                <a:solidFill>
                  <a:schemeClr val="dk1"/>
                </a:solidFill>
                <a:effectLst/>
                <a:latin typeface="+mn-lt"/>
                <a:ea typeface="+mn-ea"/>
                <a:cs typeface="+mn-cs"/>
              </a:rPr>
              <a:t>Ctrl+" </a:t>
            </a:r>
            <a:r>
              <a:rPr lang="en-US" sz="1100" b="1" i="0" kern="1200" baseline="0">
                <a:solidFill>
                  <a:schemeClr val="accent2"/>
                </a:solidFill>
                <a:effectLst/>
                <a:latin typeface="+mn-lt"/>
                <a:ea typeface="+mn-ea"/>
                <a:cs typeface="+mn-cs"/>
              </a:rPr>
              <a:t>+</a:t>
            </a:r>
            <a:r>
              <a:rPr lang="en-US" sz="1100" b="1" i="0" kern="1200" baseline="0">
                <a:solidFill>
                  <a:schemeClr val="dk1"/>
                </a:solidFill>
                <a:effectLst/>
                <a:latin typeface="+mn-lt"/>
                <a:ea typeface="+mn-ea"/>
                <a:cs typeface="+mn-cs"/>
              </a:rPr>
              <a:t> ":"</a:t>
            </a:r>
            <a:endParaRPr lang="en-US" sz="1100">
              <a:effectLst/>
              <a:latin typeface="+mn-lt"/>
            </a:endParaRPr>
          </a:p>
        </xdr:txBody>
      </xdr:sp>
      <xdr:pic>
        <xdr:nvPicPr>
          <xdr:cNvPr id="155" name="Graphic 147" descr="Glasses">
            <a:extLst>
              <a:ext uri="{FF2B5EF4-FFF2-40B4-BE49-F238E27FC236}">
                <a16:creationId xmlns:a16="http://schemas.microsoft.com/office/drawing/2014/main" id="{CE0C3790-EFBA-44FF-9FDC-4DC01893B68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391275" y="8769732"/>
            <a:ext cx="300614" cy="258345"/>
          </a:xfrm>
          <a:prstGeom prst="rect">
            <a:avLst/>
          </a:prstGeom>
        </xdr:spPr>
      </xdr:pic>
      <xdr:sp macro="" textlink="">
        <xdr:nvSpPr>
          <xdr:cNvPr id="156" name="Freeform: Shape 155" descr="Arrrow">
            <a:extLst>
              <a:ext uri="{FF2B5EF4-FFF2-40B4-BE49-F238E27FC236}">
                <a16:creationId xmlns:a16="http://schemas.microsoft.com/office/drawing/2014/main" id="{DC28982F-2938-4FB2-83AE-57CF7D95EFD2}"/>
              </a:ext>
            </a:extLst>
          </xdr:cNvPr>
          <xdr:cNvSpPr/>
        </xdr:nvSpPr>
        <xdr:spPr>
          <a:xfrm rot="5587898" flipV="1">
            <a:off x="8086123" y="8223839"/>
            <a:ext cx="345250" cy="933889"/>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342900</xdr:colOff>
      <xdr:row>60</xdr:row>
      <xdr:rowOff>161925</xdr:rowOff>
    </xdr:from>
    <xdr:to>
      <xdr:col>1</xdr:col>
      <xdr:colOff>5228463</xdr:colOff>
      <xdr:row>73</xdr:row>
      <xdr:rowOff>161925</xdr:rowOff>
    </xdr:to>
    <xdr:grpSp>
      <xdr:nvGrpSpPr>
        <xdr:cNvPr id="157" name="Group 156">
          <a:extLst>
            <a:ext uri="{FF2B5EF4-FFF2-40B4-BE49-F238E27FC236}">
              <a16:creationId xmlns:a16="http://schemas.microsoft.com/office/drawing/2014/main" id="{BBCBE502-8234-4D4A-9B27-5CABDDC8BAC3}"/>
            </a:ext>
          </a:extLst>
        </xdr:cNvPr>
        <xdr:cNvGrpSpPr/>
      </xdr:nvGrpSpPr>
      <xdr:grpSpPr>
        <a:xfrm>
          <a:off x="342900" y="12079605"/>
          <a:ext cx="5754243" cy="2377440"/>
          <a:chOff x="352425" y="12715875"/>
          <a:chExt cx="5733288" cy="2476500"/>
        </a:xfrm>
      </xdr:grpSpPr>
      <xdr:sp macro="" textlink="">
        <xdr:nvSpPr>
          <xdr:cNvPr id="158" name="Rectangle 157">
            <a:extLst>
              <a:ext uri="{FF2B5EF4-FFF2-40B4-BE49-F238E27FC236}">
                <a16:creationId xmlns:a16="http://schemas.microsoft.com/office/drawing/2014/main" id="{EB78088A-F728-4334-BBAD-9DCAD9DC2A2E}"/>
              </a:ext>
            </a:extLst>
          </xdr:cNvPr>
          <xdr:cNvSpPr/>
        </xdr:nvSpPr>
        <xdr:spPr>
          <a:xfrm>
            <a:off x="352425" y="12715875"/>
            <a:ext cx="5733288" cy="24765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9" name="Step" descr="More information on the web&#10;">
            <a:extLst>
              <a:ext uri="{FF2B5EF4-FFF2-40B4-BE49-F238E27FC236}">
                <a16:creationId xmlns:a16="http://schemas.microsoft.com/office/drawing/2014/main" id="{0CC303B6-A72F-431D-B2DE-1F16D7E093B2}"/>
              </a:ext>
            </a:extLst>
          </xdr:cNvPr>
          <xdr:cNvSpPr txBox="1"/>
        </xdr:nvSpPr>
        <xdr:spPr>
          <a:xfrm>
            <a:off x="564965" y="12801623"/>
            <a:ext cx="5254218" cy="340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60" name="Straight Connector 159" descr="Decorative line">
            <a:extLst>
              <a:ext uri="{FF2B5EF4-FFF2-40B4-BE49-F238E27FC236}">
                <a16:creationId xmlns:a16="http://schemas.microsoft.com/office/drawing/2014/main" id="{52A9E11F-836A-48CD-A0B1-5196D5B7FDEF}"/>
              </a:ext>
            </a:extLst>
          </xdr:cNvPr>
          <xdr:cNvCxnSpPr>
            <a:cxnSpLocks/>
          </xdr:cNvCxnSpPr>
        </xdr:nvCxnSpPr>
        <xdr:spPr>
          <a:xfrm>
            <a:off x="564965" y="1324014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1" name="Straight Connector 160" descr="Decorative line">
            <a:extLst>
              <a:ext uri="{FF2B5EF4-FFF2-40B4-BE49-F238E27FC236}">
                <a16:creationId xmlns:a16="http://schemas.microsoft.com/office/drawing/2014/main" id="{2AF4D85B-72C9-4670-AFD5-D498C1F96D34}"/>
              </a:ext>
            </a:extLst>
          </xdr:cNvPr>
          <xdr:cNvCxnSpPr>
            <a:cxnSpLocks/>
          </xdr:cNvCxnSpPr>
        </xdr:nvCxnSpPr>
        <xdr:spPr>
          <a:xfrm>
            <a:off x="564965" y="1502902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571931</xdr:colOff>
      <xdr:row>64</xdr:row>
      <xdr:rowOff>16594</xdr:rowOff>
    </xdr:from>
    <xdr:to>
      <xdr:col>1</xdr:col>
      <xdr:colOff>2590800</xdr:colOff>
      <xdr:row>66</xdr:row>
      <xdr:rowOff>2293</xdr:rowOff>
    </xdr:to>
    <xdr:grpSp>
      <xdr:nvGrpSpPr>
        <xdr:cNvPr id="14" name="Group 13">
          <a:extLst>
            <a:ext uri="{FF2B5EF4-FFF2-40B4-BE49-F238E27FC236}">
              <a16:creationId xmlns:a16="http://schemas.microsoft.com/office/drawing/2014/main" id="{C4A695FE-F3AB-4030-A0F4-F10322DAD2D7}"/>
            </a:ext>
          </a:extLst>
        </xdr:cNvPr>
        <xdr:cNvGrpSpPr/>
      </xdr:nvGrpSpPr>
      <xdr:grpSpPr>
        <a:xfrm>
          <a:off x="571931" y="12665794"/>
          <a:ext cx="2887549" cy="351459"/>
          <a:chOff x="571931" y="13599244"/>
          <a:chExt cx="2866594" cy="359079"/>
        </a:xfrm>
      </xdr:grpSpPr>
      <xdr:sp macro="" textlink="">
        <xdr:nvSpPr>
          <xdr:cNvPr id="162" name="Step" descr="All about the TODAY function, Hyperlinked to web&#10;&#10;">
            <a:hlinkClick xmlns:r="http://schemas.openxmlformats.org/officeDocument/2006/relationships" r:id="rId5" tooltip="Select to learn all about the TODAY function on the web"/>
            <a:extLst>
              <a:ext uri="{FF2B5EF4-FFF2-40B4-BE49-F238E27FC236}">
                <a16:creationId xmlns:a16="http://schemas.microsoft.com/office/drawing/2014/main" id="{F8241A74-09BF-4A60-A53F-A5CCC994B75C}"/>
              </a:ext>
            </a:extLst>
          </xdr:cNvPr>
          <xdr:cNvSpPr txBox="1"/>
        </xdr:nvSpPr>
        <xdr:spPr>
          <a:xfrm>
            <a:off x="1037116" y="136736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TODAY</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63" name="Graphic 22" descr="Arrow">
            <a:hlinkClick xmlns:r="http://schemas.openxmlformats.org/officeDocument/2006/relationships" r:id="rId5" tooltip="Select to learn more from the web"/>
            <a:extLst>
              <a:ext uri="{FF2B5EF4-FFF2-40B4-BE49-F238E27FC236}">
                <a16:creationId xmlns:a16="http://schemas.microsoft.com/office/drawing/2014/main" id="{6ECAD5CD-51D3-4862-91A2-8FB3AEC3B5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3599244"/>
            <a:ext cx="492262" cy="359079"/>
          </a:xfrm>
          <a:prstGeom prst="rect">
            <a:avLst/>
          </a:prstGeom>
        </xdr:spPr>
      </xdr:pic>
    </xdr:grpSp>
    <xdr:clientData/>
  </xdr:twoCellAnchor>
  <xdr:twoCellAnchor editAs="absolute">
    <xdr:from>
      <xdr:col>0</xdr:col>
      <xdr:colOff>571931</xdr:colOff>
      <xdr:row>66</xdr:row>
      <xdr:rowOff>51141</xdr:rowOff>
    </xdr:from>
    <xdr:to>
      <xdr:col>1</xdr:col>
      <xdr:colOff>2619375</xdr:colOff>
      <xdr:row>68</xdr:row>
      <xdr:rowOff>34530</xdr:rowOff>
    </xdr:to>
    <xdr:grpSp>
      <xdr:nvGrpSpPr>
        <xdr:cNvPr id="13" name="Group 12">
          <a:extLst>
            <a:ext uri="{FF2B5EF4-FFF2-40B4-BE49-F238E27FC236}">
              <a16:creationId xmlns:a16="http://schemas.microsoft.com/office/drawing/2014/main" id="{E793ECE4-F54A-4632-BABB-CDB76236E886}"/>
            </a:ext>
          </a:extLst>
        </xdr:cNvPr>
        <xdr:cNvGrpSpPr/>
      </xdr:nvGrpSpPr>
      <xdr:grpSpPr>
        <a:xfrm>
          <a:off x="571931" y="13066101"/>
          <a:ext cx="2916124" cy="349149"/>
          <a:chOff x="571931" y="14014791"/>
          <a:chExt cx="2895169" cy="364389"/>
        </a:xfrm>
      </xdr:grpSpPr>
      <xdr:sp macro="" textlink="">
        <xdr:nvSpPr>
          <xdr:cNvPr id="164" name="Step" descr="All about the NOW function, hyperlinked to web&#10;">
            <a:hlinkClick xmlns:r="http://schemas.openxmlformats.org/officeDocument/2006/relationships" r:id="rId8" tooltip="Select to learn all about the NOW function on the web"/>
            <a:extLst>
              <a:ext uri="{FF2B5EF4-FFF2-40B4-BE49-F238E27FC236}">
                <a16:creationId xmlns:a16="http://schemas.microsoft.com/office/drawing/2014/main" id="{99ED5FDC-AE78-4AD5-8FB5-D398732CB7E5}"/>
              </a:ext>
            </a:extLst>
          </xdr:cNvPr>
          <xdr:cNvSpPr txBox="1"/>
        </xdr:nvSpPr>
        <xdr:spPr>
          <a:xfrm>
            <a:off x="1037116" y="14093795"/>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NOW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5" name="Graphic 22" descr="Arrow">
            <a:hlinkClick xmlns:r="http://schemas.openxmlformats.org/officeDocument/2006/relationships" r:id="rId8" tooltip="Select to learn more from the web"/>
            <a:extLst>
              <a:ext uri="{FF2B5EF4-FFF2-40B4-BE49-F238E27FC236}">
                <a16:creationId xmlns:a16="http://schemas.microsoft.com/office/drawing/2014/main" id="{E70542D9-5A9E-41DE-8F08-C01A0DE31A7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71931" y="14014791"/>
            <a:ext cx="492262" cy="364389"/>
          </a:xfrm>
          <a:prstGeom prst="rect">
            <a:avLst/>
          </a:prstGeom>
        </xdr:spPr>
      </xdr:pic>
    </xdr:grpSp>
    <xdr:clientData/>
  </xdr:twoCellAnchor>
  <xdr:twoCellAnchor editAs="absolute">
    <xdr:from>
      <xdr:col>0</xdr:col>
      <xdr:colOff>584540</xdr:colOff>
      <xdr:row>70</xdr:row>
      <xdr:rowOff>165403</xdr:rowOff>
    </xdr:from>
    <xdr:to>
      <xdr:col>1</xdr:col>
      <xdr:colOff>2240842</xdr:colOff>
      <xdr:row>72</xdr:row>
      <xdr:rowOff>148792</xdr:rowOff>
    </xdr:to>
    <xdr:grpSp>
      <xdr:nvGrpSpPr>
        <xdr:cNvPr id="9" name="Group 8">
          <a:extLst>
            <a:ext uri="{FF2B5EF4-FFF2-40B4-BE49-F238E27FC236}">
              <a16:creationId xmlns:a16="http://schemas.microsoft.com/office/drawing/2014/main" id="{659E6730-AC76-4CC7-A823-D2C618696DAA}"/>
            </a:ext>
          </a:extLst>
        </xdr:cNvPr>
        <xdr:cNvGrpSpPr/>
      </xdr:nvGrpSpPr>
      <xdr:grpSpPr>
        <a:xfrm>
          <a:off x="584540" y="13911883"/>
          <a:ext cx="2524982" cy="349149"/>
          <a:chOff x="584540" y="14891053"/>
          <a:chExt cx="2504027" cy="364389"/>
        </a:xfrm>
      </xdr:grpSpPr>
      <xdr:sp macro="" textlink="">
        <xdr:nvSpPr>
          <xdr:cNvPr id="166"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3AA6BF12-05BC-4A54-8192-040964AEB7FE}"/>
              </a:ext>
            </a:extLst>
          </xdr:cNvPr>
          <xdr:cNvSpPr txBox="1"/>
        </xdr:nvSpPr>
        <xdr:spPr>
          <a:xfrm>
            <a:off x="1049724" y="149135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67" name="Graphic 22" descr="Arrow">
            <a:hlinkClick xmlns:r="http://schemas.openxmlformats.org/officeDocument/2006/relationships" r:id="rId9" tooltip="Select to learn more from the web"/>
            <a:extLst>
              <a:ext uri="{FF2B5EF4-FFF2-40B4-BE49-F238E27FC236}">
                <a16:creationId xmlns:a16="http://schemas.microsoft.com/office/drawing/2014/main" id="{8C78D2E4-2A5C-4746-884A-D6C829F2876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4540" y="14891053"/>
            <a:ext cx="492262" cy="364389"/>
          </a:xfrm>
          <a:prstGeom prst="rect">
            <a:avLst/>
          </a:prstGeom>
        </xdr:spPr>
      </xdr:pic>
    </xdr:grpSp>
    <xdr:clientData/>
  </xdr:twoCellAnchor>
  <xdr:twoCellAnchor editAs="absolute">
    <xdr:from>
      <xdr:col>0</xdr:col>
      <xdr:colOff>581456</xdr:colOff>
      <xdr:row>68</xdr:row>
      <xdr:rowOff>90998</xdr:rowOff>
    </xdr:from>
    <xdr:to>
      <xdr:col>1</xdr:col>
      <xdr:colOff>2628900</xdr:colOff>
      <xdr:row>70</xdr:row>
      <xdr:rowOff>74387</xdr:rowOff>
    </xdr:to>
    <xdr:grpSp>
      <xdr:nvGrpSpPr>
        <xdr:cNvPr id="12" name="Group 11">
          <a:extLst>
            <a:ext uri="{FF2B5EF4-FFF2-40B4-BE49-F238E27FC236}">
              <a16:creationId xmlns:a16="http://schemas.microsoft.com/office/drawing/2014/main" id="{FF28E0D6-012A-4FA6-9D67-C8B77A5CC9E6}"/>
            </a:ext>
          </a:extLst>
        </xdr:cNvPr>
        <xdr:cNvGrpSpPr/>
      </xdr:nvGrpSpPr>
      <xdr:grpSpPr>
        <a:xfrm>
          <a:off x="581456" y="13471718"/>
          <a:ext cx="2916124" cy="349149"/>
          <a:chOff x="581456" y="14435648"/>
          <a:chExt cx="2895169" cy="364389"/>
        </a:xfrm>
      </xdr:grpSpPr>
      <xdr:sp macro="" textlink="">
        <xdr:nvSpPr>
          <xdr:cNvPr id="168" name="Step" descr="All about the DATE function, hyperlinked to web&#10;">
            <a:hlinkClick xmlns:r="http://schemas.openxmlformats.org/officeDocument/2006/relationships" r:id="rId10" tooltip="Select to learn all about the DATE function on the web"/>
            <a:extLst>
              <a:ext uri="{FF2B5EF4-FFF2-40B4-BE49-F238E27FC236}">
                <a16:creationId xmlns:a16="http://schemas.microsoft.com/office/drawing/2014/main" id="{282D96E3-1EC6-421D-A0C9-770266F3958E}"/>
              </a:ext>
            </a:extLst>
          </xdr:cNvPr>
          <xdr:cNvSpPr txBox="1"/>
        </xdr:nvSpPr>
        <xdr:spPr>
          <a:xfrm>
            <a:off x="1046641" y="14492287"/>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DATE </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function</a:t>
            </a:r>
          </a:p>
        </xdr:txBody>
      </xdr:sp>
      <xdr:pic>
        <xdr:nvPicPr>
          <xdr:cNvPr id="169" name="Graphic 22" descr="Arrow">
            <a:hlinkClick xmlns:r="http://schemas.openxmlformats.org/officeDocument/2006/relationships" r:id="rId10" tooltip="Select to learn more from the web"/>
            <a:extLst>
              <a:ext uri="{FF2B5EF4-FFF2-40B4-BE49-F238E27FC236}">
                <a16:creationId xmlns:a16="http://schemas.microsoft.com/office/drawing/2014/main" id="{3FAA42DE-DF2C-46D8-990E-BD532B1D561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81456" y="14435648"/>
            <a:ext cx="492262" cy="364389"/>
          </a:xfrm>
          <a:prstGeom prst="rect">
            <a:avLst/>
          </a:prstGeom>
        </xdr:spPr>
      </xdr:pic>
    </xdr:grpSp>
    <xdr:clientData/>
  </xdr:twoCellAnchor>
  <xdr:twoCellAnchor editAs="absolute">
    <xdr:from>
      <xdr:col>3</xdr:col>
      <xdr:colOff>949793</xdr:colOff>
      <xdr:row>6</xdr:row>
      <xdr:rowOff>120354</xdr:rowOff>
    </xdr:from>
    <xdr:to>
      <xdr:col>10</xdr:col>
      <xdr:colOff>217381</xdr:colOff>
      <xdr:row>13</xdr:row>
      <xdr:rowOff>120648</xdr:rowOff>
    </xdr:to>
    <xdr:grpSp>
      <xdr:nvGrpSpPr>
        <xdr:cNvPr id="78" name="IMPORTANT DETAIL" descr="IMPORTANT DETAIL&#10;&#10;">
          <a:extLst>
            <a:ext uri="{FF2B5EF4-FFF2-40B4-BE49-F238E27FC236}">
              <a16:creationId xmlns:a16="http://schemas.microsoft.com/office/drawing/2014/main" id="{F03EFBCA-CF45-46A3-8D0C-6B4DC1C4CC33}"/>
            </a:ext>
          </a:extLst>
        </xdr:cNvPr>
        <xdr:cNvGrpSpPr/>
      </xdr:nvGrpSpPr>
      <xdr:grpSpPr>
        <a:xfrm>
          <a:off x="9217493" y="2048214"/>
          <a:ext cx="3961508" cy="1356654"/>
          <a:chOff x="6396316" y="11324814"/>
          <a:chExt cx="4106584" cy="1343436"/>
        </a:xfrm>
      </xdr:grpSpPr>
      <xdr:sp macro="" textlink="">
        <xdr:nvSpPr>
          <xdr:cNvPr id="79" name="Instruction" descr="IMPORTANT DETAIL&#10;If you don't want Excel to display a negative number because you haven't entered your birthday yet, you can use an IF function like this: =IF(D7=&quot;&quot;,&quot;&quot;,D7-D6), which says, &quot;IF D7 equals nothing, then show nothing, otherwise show D7 minus D6&quot;.&#10;&#10;">
            <a:extLst>
              <a:ext uri="{FF2B5EF4-FFF2-40B4-BE49-F238E27FC236}">
                <a16:creationId xmlns:a16="http://schemas.microsoft.com/office/drawing/2014/main" id="{C68ECE02-F87F-4906-B6F3-616A5ECFD97E}"/>
              </a:ext>
            </a:extLst>
          </xdr:cNvPr>
          <xdr:cNvSpPr txBox="1"/>
        </xdr:nvSpPr>
        <xdr:spPr>
          <a:xfrm>
            <a:off x="7073900" y="11363325"/>
            <a:ext cx="3429000"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DÉTAIL IMPORTANT</a:t>
            </a:r>
          </a:p>
          <a:p>
            <a:pPr eaLnBrk="1" fontAlgn="auto" latinLnBrk="0" hangingPunct="1"/>
            <a:r>
              <a:rPr lang="en-US" sz="1100" b="0" i="0" kern="1200" baseline="0">
                <a:solidFill>
                  <a:schemeClr val="dk1"/>
                </a:solidFill>
                <a:effectLst/>
                <a:latin typeface="+mn-lt"/>
                <a:ea typeface="+mn-ea"/>
                <a:cs typeface="+mn-cs"/>
              </a:rPr>
              <a:t>Si vous ne souhaitez pas qu’Excel affiche un nombre négatif, car vous n’avez pas encore entré votre date de naissance, vous pouvez utiliser une fonction </a:t>
            </a:r>
            <a:r>
              <a:rPr lang="en-US" sz="1100" b="1" i="0" kern="1200" baseline="0">
                <a:solidFill>
                  <a:schemeClr val="dk1"/>
                </a:solidFill>
                <a:effectLst/>
                <a:latin typeface="+mn-lt"/>
                <a:ea typeface="+mn-ea"/>
                <a:cs typeface="+mn-cs"/>
              </a:rPr>
              <a:t>SI</a:t>
            </a:r>
            <a:r>
              <a:rPr lang="en-US" sz="1100" b="0" i="0" kern="1200" baseline="0">
                <a:solidFill>
                  <a:schemeClr val="dk1"/>
                </a:solidFill>
                <a:effectLst/>
                <a:latin typeface="+mn-lt"/>
                <a:ea typeface="+mn-ea"/>
                <a:cs typeface="+mn-cs"/>
              </a:rPr>
              <a:t> comme celle-ci : </a:t>
            </a:r>
            <a:r>
              <a:rPr lang="en-US" sz="1100" b="1" i="0" kern="1200" baseline="0">
                <a:solidFill>
                  <a:schemeClr val="dk1"/>
                </a:solidFill>
                <a:effectLst/>
                <a:latin typeface="+mn-lt"/>
                <a:ea typeface="+mn-ea"/>
                <a:cs typeface="+mn-cs"/>
              </a:rPr>
              <a:t>=SI(D7=""»;""»,D7-D6)</a:t>
            </a:r>
            <a:r>
              <a:rPr lang="en-US" sz="1100" b="0" i="0" kern="1200" baseline="0">
                <a:solidFill>
                  <a:schemeClr val="dk1"/>
                </a:solidFill>
                <a:effectLst/>
                <a:latin typeface="+mn-lt"/>
                <a:ea typeface="+mn-ea"/>
                <a:cs typeface="+mn-cs"/>
              </a:rPr>
              <a:t>, qui dit « SI D7 est égal à rien, ne montre rien, sinon affiche D7 moins D6 ».</a:t>
            </a:r>
            <a:endParaRPr lang="en-US" sz="1100">
              <a:effectLst/>
            </a:endParaRPr>
          </a:p>
        </xdr:txBody>
      </xdr:sp>
      <xdr:pic>
        <xdr:nvPicPr>
          <xdr:cNvPr id="80" name="Magnify glass" descr="Magnifying glass">
            <a:extLst>
              <a:ext uri="{FF2B5EF4-FFF2-40B4-BE49-F238E27FC236}">
                <a16:creationId xmlns:a16="http://schemas.microsoft.com/office/drawing/2014/main" id="{57556E3F-B900-42F5-BB4C-8C777631200B}"/>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81" name="Arrow" descr="Arrow">
            <a:extLst>
              <a:ext uri="{FF2B5EF4-FFF2-40B4-BE49-F238E27FC236}">
                <a16:creationId xmlns:a16="http://schemas.microsoft.com/office/drawing/2014/main" id="{08C6D92D-4BCD-49B7-AEF5-6E3024F783F9}"/>
              </a:ext>
            </a:extLst>
          </xdr:cNvPr>
          <xdr:cNvSpPr/>
        </xdr:nvSpPr>
        <xdr:spPr>
          <a:xfrm rot="19569635">
            <a:off x="6396316" y="11324814"/>
            <a:ext cx="475440" cy="394481"/>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1</xdr:col>
      <xdr:colOff>4886473</xdr:colOff>
      <xdr:row>5</xdr:row>
      <xdr:rowOff>173951</xdr:rowOff>
    </xdr:from>
    <xdr:to>
      <xdr:col>3</xdr:col>
      <xdr:colOff>242992</xdr:colOff>
      <xdr:row>8</xdr:row>
      <xdr:rowOff>83825</xdr:rowOff>
    </xdr:to>
    <xdr:sp macro="" textlink="">
      <xdr:nvSpPr>
        <xdr:cNvPr id="4" name="Arrow" descr="Arrow">
          <a:extLst>
            <a:ext uri="{FF2B5EF4-FFF2-40B4-BE49-F238E27FC236}">
              <a16:creationId xmlns:a16="http://schemas.microsoft.com/office/drawing/2014/main" id="{D253028B-4851-4D5D-9DF8-888B4BEEEC9D}"/>
            </a:ext>
          </a:extLst>
        </xdr:cNvPr>
        <xdr:cNvSpPr/>
      </xdr:nvSpPr>
      <xdr:spPr>
        <a:xfrm rot="19569635" flipV="1">
          <a:off x="5755153" y="1896071"/>
          <a:ext cx="2755539" cy="527094"/>
        </a:xfrm>
        <a:prstGeom prst="arc">
          <a:avLst>
            <a:gd name="adj1" fmla="val 15011426"/>
            <a:gd name="adj2" fmla="val 21562460"/>
          </a:avLst>
        </a:prstGeom>
        <a:noFill/>
        <a:ln w="19050" cap="flat" cmpd="sng" algn="ctr">
          <a:solidFill>
            <a:srgbClr val="ED7D31">
              <a:lumMod val="60000"/>
              <a:lumOff val="40000"/>
            </a:srgbClr>
          </a:solidFill>
          <a:prstDash val="solid"/>
          <a:miter lim="800000"/>
          <a:headEnd type="triangle"/>
        </a:ln>
        <a:effectLst/>
      </xdr:spPr>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xdr:from>
      <xdr:col>2</xdr:col>
      <xdr:colOff>365276</xdr:colOff>
      <xdr:row>0</xdr:row>
      <xdr:rowOff>719966</xdr:rowOff>
    </xdr:from>
    <xdr:to>
      <xdr:col>6</xdr:col>
      <xdr:colOff>316230</xdr:colOff>
      <xdr:row>4</xdr:row>
      <xdr:rowOff>7620</xdr:rowOff>
    </xdr:to>
    <xdr:sp macro="" textlink="">
      <xdr:nvSpPr>
        <xdr:cNvPr id="7" name="Step" descr="GOOD TO KNOW&#10;Excel keeps dates and times based on the number of days starting from January 1, 1900. Times are kept in fractional portions of a day based on minutes. So 01/01/2017 12:30 PM is actually stored as 42736.5208. If the Time or Date show up as numbers like that, then you can press Ctrl+1 &gt; Number &gt; select a Date or Time format. &#10;&#10;">
          <a:extLst>
            <a:ext uri="{FF2B5EF4-FFF2-40B4-BE49-F238E27FC236}">
              <a16:creationId xmlns:a16="http://schemas.microsoft.com/office/drawing/2014/main" id="{F67EEA9A-C934-47C1-B20D-E19A822A8A34}"/>
            </a:ext>
          </a:extLst>
        </xdr:cNvPr>
        <xdr:cNvSpPr txBox="1"/>
      </xdr:nvSpPr>
      <xdr:spPr>
        <a:xfrm>
          <a:off x="6918476" y="719966"/>
          <a:ext cx="3920974" cy="8268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BON A SAVOIR</a:t>
          </a:r>
        </a:p>
        <a:p>
          <a:pPr lvl="0">
            <a:defRPr/>
          </a:pPr>
          <a:r>
            <a:rPr lang="en-US"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Le délai de grâce est utile en cas de manque temporaire de liquidité. Il désigne un délai accordé par un juge dans un contexte</a:t>
          </a:r>
          <a:r>
            <a:rPr lang="en-US" sz="1200" b="0" baseline="0">
              <a:solidFill>
                <a:sysClr val="windowText" lastClr="000000"/>
              </a:solidFill>
              <a:latin typeface="Calibri" panose="020F0502020204030204" pitchFamily="34" charset="0"/>
              <a:ea typeface="Calibri" panose="020F0502020204030204" pitchFamily="34" charset="0"/>
              <a:cs typeface="Calibri" panose="020F0502020204030204" pitchFamily="34" charset="0"/>
            </a:rPr>
            <a:t> légal.</a:t>
          </a:r>
          <a:endParaRPr lang="en-US" sz="1200" b="0">
            <a:solidFill>
              <a:sysClr val="windowText" lastClr="000000"/>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xdr:col>
      <xdr:colOff>38100</xdr:colOff>
      <xdr:row>0</xdr:row>
      <xdr:rowOff>655320</xdr:rowOff>
    </xdr:from>
    <xdr:to>
      <xdr:col>2</xdr:col>
      <xdr:colOff>438320</xdr:colOff>
      <xdr:row>2</xdr:row>
      <xdr:rowOff>203807</xdr:rowOff>
    </xdr:to>
    <xdr:pic>
      <xdr:nvPicPr>
        <xdr:cNvPr id="8" name="Graphic 147" descr="Glasses">
          <a:extLst>
            <a:ext uri="{FF2B5EF4-FFF2-40B4-BE49-F238E27FC236}">
              <a16:creationId xmlns:a16="http://schemas.microsoft.com/office/drawing/2014/main" id="{B855EE12-1D0E-430B-8D48-3BD1D43EB1A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13"/>
            </a:ext>
          </a:extLst>
        </a:blip>
        <a:stretch>
          <a:fillRect/>
        </a:stretch>
      </xdr:blipFill>
      <xdr:spPr>
        <a:xfrm>
          <a:off x="6591300" y="655320"/>
          <a:ext cx="400220" cy="49336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323850</xdr:colOff>
      <xdr:row>23</xdr:row>
      <xdr:rowOff>66675</xdr:rowOff>
    </xdr:from>
    <xdr:to>
      <xdr:col>1</xdr:col>
      <xdr:colOff>5522595</xdr:colOff>
      <xdr:row>47</xdr:row>
      <xdr:rowOff>19050</xdr:rowOff>
    </xdr:to>
    <xdr:grpSp>
      <xdr:nvGrpSpPr>
        <xdr:cNvPr id="111" name="Group 110">
          <a:extLst>
            <a:ext uri="{FF2B5EF4-FFF2-40B4-BE49-F238E27FC236}">
              <a16:creationId xmlns:a16="http://schemas.microsoft.com/office/drawing/2014/main" id="{5C38C905-DEF0-45E7-ABEB-10915BE42D13}"/>
            </a:ext>
          </a:extLst>
        </xdr:cNvPr>
        <xdr:cNvGrpSpPr/>
      </xdr:nvGrpSpPr>
      <xdr:grpSpPr>
        <a:xfrm>
          <a:off x="323850" y="4852035"/>
          <a:ext cx="6067425" cy="4341495"/>
          <a:chOff x="323850" y="5019675"/>
          <a:chExt cx="5734050" cy="4524375"/>
        </a:xfrm>
      </xdr:grpSpPr>
      <xdr:grpSp>
        <xdr:nvGrpSpPr>
          <xdr:cNvPr id="58" name="grp_TourPane">
            <a:extLst>
              <a:ext uri="{FF2B5EF4-FFF2-40B4-BE49-F238E27FC236}">
                <a16:creationId xmlns:a16="http://schemas.microsoft.com/office/drawing/2014/main" id="{3E43ADA2-5F3E-45C6-BA66-1973A0B1F638}"/>
              </a:ext>
            </a:extLst>
          </xdr:cNvPr>
          <xdr:cNvGrpSpPr/>
        </xdr:nvGrpSpPr>
        <xdr:grpSpPr>
          <a:xfrm>
            <a:off x="323850" y="5019675"/>
            <a:ext cx="5734050" cy="4524375"/>
            <a:chOff x="609600" y="1524000"/>
            <a:chExt cx="5695950" cy="4572000"/>
          </a:xfrm>
        </xdr:grpSpPr>
        <xdr:sp macro="" textlink="">
          <xdr:nvSpPr>
            <xdr:cNvPr id="59" name="txt_TourBackground" descr="Background">
              <a:extLst>
                <a:ext uri="{FF2B5EF4-FFF2-40B4-BE49-F238E27FC236}">
                  <a16:creationId xmlns:a16="http://schemas.microsoft.com/office/drawing/2014/main" id="{746CE660-670F-48DE-9B5A-8F87BB149114}"/>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60" name="txt_TourHeader" descr="Using text and numbers together">
              <a:extLst>
                <a:ext uri="{FF2B5EF4-FFF2-40B4-BE49-F238E27FC236}">
                  <a16:creationId xmlns:a16="http://schemas.microsoft.com/office/drawing/2014/main" id="{F438F1EF-277F-41AD-BA1E-1D4C10A4E576}"/>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Utilisation conjointe de texte et de chiffres</a:t>
              </a:r>
            </a:p>
          </xdr:txBody>
        </xdr:sp>
        <xdr:cxnSp macro="">
          <xdr:nvCxnSpPr>
            <xdr:cNvPr id="61" name="txt_TourLine1" descr="Decorative line">
              <a:extLst>
                <a:ext uri="{FF2B5EF4-FFF2-40B4-BE49-F238E27FC236}">
                  <a16:creationId xmlns:a16="http://schemas.microsoft.com/office/drawing/2014/main" id="{DDC3CCDC-6AE4-46BD-AE52-501D8F2D8750}"/>
                </a:ext>
              </a:extLst>
            </xdr:cNvPr>
            <xdr:cNvCxnSpPr>
              <a:cxnSpLocks/>
            </xdr:cNvCxnSpPr>
          </xdr:nvCxnSpPr>
          <xdr:spPr>
            <a:xfrm>
              <a:off x="858040" y="211050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62" name="txt_TourLine2" descr="Decorative line">
              <a:extLst>
                <a:ext uri="{FF2B5EF4-FFF2-40B4-BE49-F238E27FC236}">
                  <a16:creationId xmlns:a16="http://schemas.microsoft.com/office/drawing/2014/main" id="{A29D6EA9-B97F-4F30-9031-1B1934F6D015}"/>
                </a:ext>
              </a:extLst>
            </xdr:cNvPr>
            <xdr:cNvCxnSpPr>
              <a:cxnSpLocks/>
            </xdr:cNvCxnSpPr>
          </xdr:nvCxnSpPr>
          <xdr:spPr>
            <a:xfrm>
              <a:off x="843733" y="5459485"/>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63" name="txt_TourIntro" descr="Now we'll use the &amp; to join text and numbers, not just text and text&#10;&#10;Look at cells C28:D29. See how the date and times are in separate cells? You can join them together with the &amp; symbol like you'll see in cells C32:C33, but that doesn't look right, does it? Unfortunately, Excel doesn't know how you want to format the numbers, so it breaks them down to their basest format, which is the the Serial date in this case. We need to explicity tell Excel how to format the number portion of the formula, so it displays the way you want in the resulting text string. You can do that with the TEXT function and a format code.&#10;">
              <a:extLst>
                <a:ext uri="{FF2B5EF4-FFF2-40B4-BE49-F238E27FC236}">
                  <a16:creationId xmlns:a16="http://schemas.microsoft.com/office/drawing/2014/main" id="{C837975A-6100-4DEA-8950-C7ADB7AEACCB}"/>
                </a:ext>
              </a:extLst>
            </xdr:cNvPr>
            <xdr:cNvSpPr txBox="1"/>
          </xdr:nvSpPr>
          <xdr:spPr>
            <a:xfrm>
              <a:off x="853458" y="2087748"/>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Maintenant, nous allons utiliser le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pour joindre du texte et des nombres, pas seulement du texte et du texte.</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Regardez les cellules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C28 :D29</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Vous voyez comment la date et l’heure sont dans des cellules distinctes ? Vous pouvez les joindre avec le symbole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comme vous le verrez dans les cellules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C32 :C33</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mais cela n’a pas l’air correct, n’est-ce pas ? Malheureusement, Excel ne sait pas comment vous voulez formater les nombres, il les décompose donc dans leur format le plus bas, qui est la date de série dans ce cas. Nous devons indiquer explicitement à Excel comment formater la partie numérique de la formule, afin qu’elle s’affiche comme vous le souhaitez dans la chaîne de texte résultante. Vous pouvez le faire à l’aide de la fonction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TEXTE</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et d’un code de format.</a:t>
              </a:r>
            </a:p>
          </xdr:txBody>
        </xdr:sp>
      </xdr:grpSp>
      <xdr:grpSp>
        <xdr:nvGrpSpPr>
          <xdr:cNvPr id="64" name="grp_Step">
            <a:extLst>
              <a:ext uri="{FF2B5EF4-FFF2-40B4-BE49-F238E27FC236}">
                <a16:creationId xmlns:a16="http://schemas.microsoft.com/office/drawing/2014/main" id="{C6BDB8A3-21FE-4EAA-A451-F595D7A1CFD1}"/>
              </a:ext>
            </a:extLst>
          </xdr:cNvPr>
          <xdr:cNvGrpSpPr/>
        </xdr:nvGrpSpPr>
        <xdr:grpSpPr>
          <a:xfrm>
            <a:off x="561975" y="7555557"/>
            <a:ext cx="5222425" cy="554249"/>
            <a:chOff x="619063" y="7765107"/>
            <a:chExt cx="5188543" cy="554249"/>
          </a:xfrm>
        </xdr:grpSpPr>
        <xdr:sp macro="" textlink="">
          <xdr:nvSpPr>
            <xdr:cNvPr id="65" name="txt_Step" descr="In cell C36, enter =C28&amp;&quot; &quot;&amp;TEXT(D28,&quot;MM/DD/YYYY&quot;). MM/DD/YYYY is the US format code for Month/Day/Year, like 09/25/2017.&#10;&#10;">
              <a:extLst>
                <a:ext uri="{FF2B5EF4-FFF2-40B4-BE49-F238E27FC236}">
                  <a16:creationId xmlns:a16="http://schemas.microsoft.com/office/drawing/2014/main" id="{DDE71C24-EA69-4FB1-9319-E270E463554C}"/>
                </a:ext>
              </a:extLst>
            </xdr:cNvPr>
            <xdr:cNvSpPr txBox="1"/>
          </xdr:nvSpPr>
          <xdr:spPr>
            <a:xfrm>
              <a:off x="1029067" y="7765107"/>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Dans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C36</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entrez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=C28&amp;" "&amp;TEXTE(D28;"JJ/MM/AAAA").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JJ/MM/AAAA est le code de format français pour Jour/Mois/Année, comme 25/09/2017.</a:t>
              </a:r>
            </a:p>
          </xdr:txBody>
        </xdr:sp>
        <xdr:sp macro="" textlink="">
          <xdr:nvSpPr>
            <xdr:cNvPr id="66" name="shp_Step" descr="1">
              <a:extLst>
                <a:ext uri="{FF2B5EF4-FFF2-40B4-BE49-F238E27FC236}">
                  <a16:creationId xmlns:a16="http://schemas.microsoft.com/office/drawing/2014/main" id="{8E23CA67-4E1A-43D7-84B1-192836614566}"/>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67" name="grp_Step">
            <a:extLst>
              <a:ext uri="{FF2B5EF4-FFF2-40B4-BE49-F238E27FC236}">
                <a16:creationId xmlns:a16="http://schemas.microsoft.com/office/drawing/2014/main" id="{400221E8-F2AA-445E-86DD-DDE14B5B3DC8}"/>
              </a:ext>
            </a:extLst>
          </xdr:cNvPr>
          <xdr:cNvGrpSpPr/>
        </xdr:nvGrpSpPr>
        <xdr:grpSpPr>
          <a:xfrm>
            <a:off x="561975" y="8181975"/>
            <a:ext cx="5229626" cy="762530"/>
            <a:chOff x="619063" y="7810500"/>
            <a:chExt cx="5195697" cy="762530"/>
          </a:xfrm>
        </xdr:grpSpPr>
        <xdr:sp macro="" textlink="">
          <xdr:nvSpPr>
            <xdr:cNvPr id="68" name="txt_Step" descr="In cell C37, enter =C29&amp;&quot; &quot;&amp;TEXT(D29,&quot;HH:MM AM/PM&quot;). HH:MM AM/PM is the US format code for Hours:Minutes AM or PM, like 1:30 PM.&#10;">
              <a:extLst>
                <a:ext uri="{FF2B5EF4-FFF2-40B4-BE49-F238E27FC236}">
                  <a16:creationId xmlns:a16="http://schemas.microsoft.com/office/drawing/2014/main" id="{CEB49487-C445-4B69-9112-51698E7250F2}"/>
                </a:ext>
              </a:extLst>
            </xdr:cNvPr>
            <xdr:cNvSpPr txBox="1"/>
          </xdr:nvSpPr>
          <xdr:spPr>
            <a:xfrm>
              <a:off x="1036221" y="7852458"/>
              <a:ext cx="4778539" cy="720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Dans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C37</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entrez</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=C29&amp;" "&amp;TEXTE(D29;" hh:mm AM/PM ").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hh:mm AM/PM est le code de format américain pour Heures : Minutes AM ou PM, comme 1:30 PM.</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2">
              <a:extLst>
                <a:ext uri="{FF2B5EF4-FFF2-40B4-BE49-F238E27FC236}">
                  <a16:creationId xmlns:a16="http://schemas.microsoft.com/office/drawing/2014/main" id="{D170A5A8-EB2A-420E-AFF9-3414BA79F7BF}"/>
                </a:ext>
              </a:extLst>
            </xdr:cNvPr>
            <xdr:cNvSpPr/>
          </xdr:nvSpPr>
          <xdr:spPr>
            <a:xfrm>
              <a:off x="619063"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542925</xdr:colOff>
      <xdr:row>44</xdr:row>
      <xdr:rowOff>66675</xdr:rowOff>
    </xdr:from>
    <xdr:to>
      <xdr:col>1</xdr:col>
      <xdr:colOff>970370</xdr:colOff>
      <xdr:row>46</xdr:row>
      <xdr:rowOff>21124</xdr:rowOff>
    </xdr:to>
    <xdr:sp macro="" textlink="">
      <xdr:nvSpPr>
        <xdr:cNvPr id="70" name="PreviousButton" descr="Return to the previous sheet">
          <a:hlinkClick xmlns:r="http://schemas.openxmlformats.org/officeDocument/2006/relationships" r:id="rId1" tooltip="Click here to go back to the previous sheet"/>
          <a:extLst>
            <a:ext uri="{FF2B5EF4-FFF2-40B4-BE49-F238E27FC236}">
              <a16:creationId xmlns:a16="http://schemas.microsoft.com/office/drawing/2014/main" id="{DCA6AC04-F66C-44EC-86B5-CE167DBCCA5F}"/>
            </a:ext>
          </a:extLst>
        </xdr:cNvPr>
        <xdr:cNvSpPr/>
      </xdr:nvSpPr>
      <xdr:spPr>
        <a:xfrm flipH="1">
          <a:off x="542925"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Précédent</a:t>
          </a:r>
        </a:p>
      </xdr:txBody>
    </xdr:sp>
    <xdr:clientData/>
  </xdr:twoCellAnchor>
  <xdr:twoCellAnchor editAs="absolute">
    <xdr:from>
      <xdr:col>1</xdr:col>
      <xdr:colOff>3713211</xdr:colOff>
      <xdr:row>44</xdr:row>
      <xdr:rowOff>66675</xdr:rowOff>
    </xdr:from>
    <xdr:to>
      <xdr:col>1</xdr:col>
      <xdr:colOff>4988381</xdr:colOff>
      <xdr:row>46</xdr:row>
      <xdr:rowOff>21124</xdr:rowOff>
    </xdr:to>
    <xdr:sp macro="" textlink="">
      <xdr:nvSpPr>
        <xdr:cNvPr id="71" name="NextButton" descr="Advance to the next sheet">
          <a:hlinkClick xmlns:r="http://schemas.openxmlformats.org/officeDocument/2006/relationships" r:id="rId2" tooltip="Click here to advance to the next worksheet"/>
          <a:extLst>
            <a:ext uri="{FF2B5EF4-FFF2-40B4-BE49-F238E27FC236}">
              <a16:creationId xmlns:a16="http://schemas.microsoft.com/office/drawing/2014/main" id="{625A78A7-925A-4E8E-B9FF-D88914AFC403}"/>
            </a:ext>
          </a:extLst>
        </xdr:cNvPr>
        <xdr:cNvSpPr/>
      </xdr:nvSpPr>
      <xdr:spPr>
        <a:xfrm>
          <a:off x="4560936" y="90201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Suivant</a:t>
          </a:r>
        </a:p>
      </xdr:txBody>
    </xdr:sp>
    <xdr:clientData/>
  </xdr:twoCellAnchor>
  <xdr:twoCellAnchor editAs="absolute">
    <xdr:from>
      <xdr:col>1</xdr:col>
      <xdr:colOff>5453062</xdr:colOff>
      <xdr:row>41</xdr:row>
      <xdr:rowOff>123825</xdr:rowOff>
    </xdr:from>
    <xdr:to>
      <xdr:col>4</xdr:col>
      <xdr:colOff>58313</xdr:colOff>
      <xdr:row>50</xdr:row>
      <xdr:rowOff>124884</xdr:rowOff>
    </xdr:to>
    <xdr:grpSp>
      <xdr:nvGrpSpPr>
        <xdr:cNvPr id="72" name="WORTH EXPLORING" descr="WORTH EXPLORING">
          <a:extLst>
            <a:ext uri="{FF2B5EF4-FFF2-40B4-BE49-F238E27FC236}">
              <a16:creationId xmlns:a16="http://schemas.microsoft.com/office/drawing/2014/main" id="{D3F697DB-2CF8-4D23-9E17-2125613D49A8}"/>
            </a:ext>
          </a:extLst>
        </xdr:cNvPr>
        <xdr:cNvGrpSpPr/>
      </xdr:nvGrpSpPr>
      <xdr:grpSpPr>
        <a:xfrm>
          <a:off x="6321742" y="8201025"/>
          <a:ext cx="3558751" cy="1646979"/>
          <a:chOff x="8477250" y="8591549"/>
          <a:chExt cx="3314700" cy="1504951"/>
        </a:xfrm>
      </xdr:grpSpPr>
      <xdr:pic>
        <xdr:nvPicPr>
          <xdr:cNvPr id="73" name="Graphic 9" descr="Hike">
            <a:extLst>
              <a:ext uri="{FF2B5EF4-FFF2-40B4-BE49-F238E27FC236}">
                <a16:creationId xmlns:a16="http://schemas.microsoft.com/office/drawing/2014/main" id="{829EB315-A788-42EB-B289-F1DA2DD24D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8477250" y="8682899"/>
            <a:ext cx="420378" cy="420378"/>
          </a:xfrm>
          <a:prstGeom prst="rect">
            <a:avLst/>
          </a:prstGeom>
        </xdr:spPr>
      </xdr:pic>
      <xdr:sp macro="" textlink="">
        <xdr:nvSpPr>
          <xdr:cNvPr id="74" name="Step" descr="WORTH EXPLORING&#10;If you don't know what format code to use, you can use Ctrl+1 &gt; Number to format any cell the way you want.  Then select the Custom option. You can copy the format code that's displayed back to your formula.&#10;">
            <a:extLst>
              <a:ext uri="{FF2B5EF4-FFF2-40B4-BE49-F238E27FC236}">
                <a16:creationId xmlns:a16="http://schemas.microsoft.com/office/drawing/2014/main" id="{BC87D05D-D577-47CD-A73D-3022C632DAF8}"/>
              </a:ext>
            </a:extLst>
          </xdr:cNvPr>
          <xdr:cNvSpPr txBox="1"/>
        </xdr:nvSpPr>
        <xdr:spPr>
          <a:xfrm>
            <a:off x="8783628" y="8591549"/>
            <a:ext cx="3008322" cy="1504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A TESTER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Si vous ne savez pas quel format de code utiliser, vous pouvez utiliser </a:t>
            </a:r>
            <a:r>
              <a:rPr lang="en-US" sz="1100" b="1" kern="0">
                <a:solidFill>
                  <a:schemeClr val="bg2">
                    <a:lumMod val="25000"/>
                  </a:schemeClr>
                </a:solidFill>
                <a:ea typeface="Segoe UI" pitchFamily="34" charset="0"/>
                <a:cs typeface="Segoe UI Light" panose="020B0502040204020203" pitchFamily="34" charset="0"/>
              </a:rPr>
              <a:t>Ctrl+1 &gt; </a:t>
            </a:r>
            <a:r>
              <a:rPr lang="en-US" sz="1100" kern="0">
                <a:solidFill>
                  <a:schemeClr val="bg2">
                    <a:lumMod val="25000"/>
                  </a:schemeClr>
                </a:solidFill>
                <a:ea typeface="Segoe UI" pitchFamily="34" charset="0"/>
                <a:cs typeface="Segoe UI Light" panose="020B0502040204020203" pitchFamily="34" charset="0"/>
              </a:rPr>
              <a:t>Numéro pour formater n’importe quelle cellule comme vous le souhaitez. Sélectionnez ensuite l’option Personnalisé. Vous pouvez copier le code de format affiché dans votre formule.</a:t>
            </a:r>
          </a:p>
          <a:p>
            <a:pPr lvl="0">
              <a:defRPr/>
            </a:pPr>
            <a:br>
              <a:rPr lang="en-US" sz="1100" kern="0">
                <a:solidFill>
                  <a:schemeClr val="bg2">
                    <a:lumMod val="25000"/>
                  </a:schemeClr>
                </a:solidFill>
                <a:ea typeface="Segoe UI" pitchFamily="34" charset="0"/>
                <a:cs typeface="Segoe UI Light" panose="020B0502040204020203" pitchFamily="34" charset="0"/>
              </a:rPr>
            </a:br>
            <a:endParaRPr lang="en-US" sz="1100" b="0" i="0">
              <a:solidFill>
                <a:schemeClr val="bg2">
                  <a:lumMod val="25000"/>
                </a:schemeClr>
              </a:solidFill>
              <a:effectLst/>
              <a:latin typeface="+mn-lt"/>
              <a:ea typeface="Segoe UI" pitchFamily="34" charset="0"/>
              <a:cs typeface="Segoe UI Light" panose="020B0502040204020203" pitchFamily="34" charset="0"/>
            </a:endParaRPr>
          </a:p>
        </xdr:txBody>
      </xdr:sp>
    </xdr:grpSp>
    <xdr:clientData/>
  </xdr:twoCellAnchor>
  <xdr:twoCellAnchor>
    <xdr:from>
      <xdr:col>0</xdr:col>
      <xdr:colOff>323850</xdr:colOff>
      <xdr:row>47</xdr:row>
      <xdr:rowOff>104774</xdr:rowOff>
    </xdr:from>
    <xdr:to>
      <xdr:col>1</xdr:col>
      <xdr:colOff>5209413</xdr:colOff>
      <xdr:row>58</xdr:row>
      <xdr:rowOff>76199</xdr:rowOff>
    </xdr:to>
    <xdr:grpSp>
      <xdr:nvGrpSpPr>
        <xdr:cNvPr id="110" name="Group 109">
          <a:extLst>
            <a:ext uri="{FF2B5EF4-FFF2-40B4-BE49-F238E27FC236}">
              <a16:creationId xmlns:a16="http://schemas.microsoft.com/office/drawing/2014/main" id="{AB7C580B-2584-48A5-99EE-E42C35C6718F}"/>
            </a:ext>
          </a:extLst>
        </xdr:cNvPr>
        <xdr:cNvGrpSpPr/>
      </xdr:nvGrpSpPr>
      <xdr:grpSpPr>
        <a:xfrm>
          <a:off x="323850" y="9279254"/>
          <a:ext cx="5754243" cy="1983105"/>
          <a:chOff x="323850" y="9629774"/>
          <a:chExt cx="5733288" cy="2066925"/>
        </a:xfrm>
      </xdr:grpSpPr>
      <xdr:sp macro="" textlink="">
        <xdr:nvSpPr>
          <xdr:cNvPr id="76" name="Rectangle 75">
            <a:extLst>
              <a:ext uri="{FF2B5EF4-FFF2-40B4-BE49-F238E27FC236}">
                <a16:creationId xmlns:a16="http://schemas.microsoft.com/office/drawing/2014/main" id="{A1C66F55-2FE6-47A1-9A10-00B61B3F4F9A}"/>
              </a:ext>
            </a:extLst>
          </xdr:cNvPr>
          <xdr:cNvSpPr/>
        </xdr:nvSpPr>
        <xdr:spPr>
          <a:xfrm>
            <a:off x="323850" y="9629774"/>
            <a:ext cx="5733288" cy="2066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77" name="Step" descr="More information on the web&#10;">
            <a:extLst>
              <a:ext uri="{FF2B5EF4-FFF2-40B4-BE49-F238E27FC236}">
                <a16:creationId xmlns:a16="http://schemas.microsoft.com/office/drawing/2014/main" id="{59574A4F-7EEC-490A-8146-89F13E39510D}"/>
              </a:ext>
            </a:extLst>
          </xdr:cNvPr>
          <xdr:cNvSpPr txBox="1"/>
        </xdr:nvSpPr>
        <xdr:spPr>
          <a:xfrm>
            <a:off x="555440" y="9729487"/>
            <a:ext cx="5254218" cy="39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78" name="Straight Connector 77" descr="Decorative line">
            <a:extLst>
              <a:ext uri="{FF2B5EF4-FFF2-40B4-BE49-F238E27FC236}">
                <a16:creationId xmlns:a16="http://schemas.microsoft.com/office/drawing/2014/main" id="{6A596E50-2AB3-4D41-8DBA-1063C5CB2B61}"/>
              </a:ext>
            </a:extLst>
          </xdr:cNvPr>
          <xdr:cNvCxnSpPr>
            <a:cxnSpLocks/>
          </xdr:cNvCxnSpPr>
        </xdr:nvCxnSpPr>
        <xdr:spPr>
          <a:xfrm>
            <a:off x="558613" y="10149257"/>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Straight Connector 78" descr="Decorative line">
            <a:extLst>
              <a:ext uri="{FF2B5EF4-FFF2-40B4-BE49-F238E27FC236}">
                <a16:creationId xmlns:a16="http://schemas.microsoft.com/office/drawing/2014/main" id="{B8761578-98DC-4BEB-87DA-3B4817D9D067}"/>
              </a:ext>
            </a:extLst>
          </xdr:cNvPr>
          <xdr:cNvCxnSpPr>
            <a:cxnSpLocks/>
          </xdr:cNvCxnSpPr>
        </xdr:nvCxnSpPr>
        <xdr:spPr>
          <a:xfrm>
            <a:off x="558613" y="11464083"/>
            <a:ext cx="525104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535207</xdr:colOff>
      <xdr:row>50</xdr:row>
      <xdr:rowOff>104951</xdr:rowOff>
    </xdr:from>
    <xdr:to>
      <xdr:col>1</xdr:col>
      <xdr:colOff>2572868</xdr:colOff>
      <xdr:row>52</xdr:row>
      <xdr:rowOff>80567</xdr:rowOff>
    </xdr:to>
    <xdr:grpSp>
      <xdr:nvGrpSpPr>
        <xdr:cNvPr id="29" name="Group 28">
          <a:extLst>
            <a:ext uri="{FF2B5EF4-FFF2-40B4-BE49-F238E27FC236}">
              <a16:creationId xmlns:a16="http://schemas.microsoft.com/office/drawing/2014/main" id="{56EB2164-D147-400B-8F32-5162F0FB9573}"/>
            </a:ext>
          </a:extLst>
        </xdr:cNvPr>
        <xdr:cNvGrpSpPr/>
      </xdr:nvGrpSpPr>
      <xdr:grpSpPr>
        <a:xfrm>
          <a:off x="535207" y="9828071"/>
          <a:ext cx="2906341" cy="341376"/>
          <a:chOff x="535207" y="10201451"/>
          <a:chExt cx="2885386" cy="356616"/>
        </a:xfrm>
      </xdr:grpSpPr>
      <xdr:sp macro="" textlink="">
        <xdr:nvSpPr>
          <xdr:cNvPr id="80" name="Step" descr="All about the TEXT function&#10;&#10;&#10;">
            <a:hlinkClick xmlns:r="http://schemas.openxmlformats.org/officeDocument/2006/relationships" r:id="rId5" tooltip="Select to learn all about the TEXT function on the web"/>
            <a:extLst>
              <a:ext uri="{FF2B5EF4-FFF2-40B4-BE49-F238E27FC236}">
                <a16:creationId xmlns:a16="http://schemas.microsoft.com/office/drawing/2014/main" id="{1C41B6F8-B5BE-4607-9781-910A4AB378C7}"/>
              </a:ext>
            </a:extLst>
          </xdr:cNvPr>
          <xdr:cNvSpPr txBox="1"/>
        </xdr:nvSpPr>
        <xdr:spPr>
          <a:xfrm>
            <a:off x="1003442" y="10276156"/>
            <a:ext cx="2417151" cy="255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TEXT</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81" name="Graphic 22" descr="Arrow">
            <a:hlinkClick xmlns:r="http://schemas.openxmlformats.org/officeDocument/2006/relationships" r:id="rId5" tooltip="Select to learn more from the web"/>
            <a:extLst>
              <a:ext uri="{FF2B5EF4-FFF2-40B4-BE49-F238E27FC236}">
                <a16:creationId xmlns:a16="http://schemas.microsoft.com/office/drawing/2014/main" id="{F05C84C5-98EF-42AB-8858-51A6BB3C7BF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201451"/>
            <a:ext cx="489823" cy="356616"/>
          </a:xfrm>
          <a:prstGeom prst="rect">
            <a:avLst/>
          </a:prstGeom>
        </xdr:spPr>
      </xdr:pic>
    </xdr:grpSp>
    <xdr:clientData/>
  </xdr:twoCellAnchor>
  <xdr:twoCellAnchor>
    <xdr:from>
      <xdr:col>0</xdr:col>
      <xdr:colOff>535207</xdr:colOff>
      <xdr:row>52</xdr:row>
      <xdr:rowOff>126167</xdr:rowOff>
    </xdr:from>
    <xdr:to>
      <xdr:col>1</xdr:col>
      <xdr:colOff>2601630</xdr:colOff>
      <xdr:row>54</xdr:row>
      <xdr:rowOff>101783</xdr:rowOff>
    </xdr:to>
    <xdr:grpSp>
      <xdr:nvGrpSpPr>
        <xdr:cNvPr id="28" name="Group 27">
          <a:extLst>
            <a:ext uri="{FF2B5EF4-FFF2-40B4-BE49-F238E27FC236}">
              <a16:creationId xmlns:a16="http://schemas.microsoft.com/office/drawing/2014/main" id="{EA729A85-5078-41D7-B98C-429FBA889789}"/>
            </a:ext>
          </a:extLst>
        </xdr:cNvPr>
        <xdr:cNvGrpSpPr/>
      </xdr:nvGrpSpPr>
      <xdr:grpSpPr>
        <a:xfrm>
          <a:off x="535207" y="10215047"/>
          <a:ext cx="2935103" cy="341376"/>
          <a:chOff x="535207" y="10603667"/>
          <a:chExt cx="2914148" cy="356616"/>
        </a:xfrm>
      </xdr:grpSpPr>
      <xdr:sp macro="" textlink="">
        <xdr:nvSpPr>
          <xdr:cNvPr id="82" name="Step" descr="Combine text and numbers, hyperlinked to web&#10;">
            <a:hlinkClick xmlns:r="http://schemas.openxmlformats.org/officeDocument/2006/relationships" r:id="rId8" tooltip="Select to learn all about combining text and numbers on the web"/>
            <a:extLst>
              <a:ext uri="{FF2B5EF4-FFF2-40B4-BE49-F238E27FC236}">
                <a16:creationId xmlns:a16="http://schemas.microsoft.com/office/drawing/2014/main" id="{FA1B0051-EB9E-450B-84EA-BC5280225915}"/>
              </a:ext>
            </a:extLst>
          </xdr:cNvPr>
          <xdr:cNvSpPr txBox="1"/>
        </xdr:nvSpPr>
        <xdr:spPr>
          <a:xfrm>
            <a:off x="1003442" y="10655787"/>
            <a:ext cx="2445913" cy="2333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Combine text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and numbers</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3" name="Graphic 22" descr="Arrow">
            <a:hlinkClick xmlns:r="http://schemas.openxmlformats.org/officeDocument/2006/relationships" r:id="rId8" tooltip="Select to learn more from the web"/>
            <a:extLst>
              <a:ext uri="{FF2B5EF4-FFF2-40B4-BE49-F238E27FC236}">
                <a16:creationId xmlns:a16="http://schemas.microsoft.com/office/drawing/2014/main" id="{E3511488-D6E7-403B-B5D4-738E7C257BA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5207" y="10603667"/>
            <a:ext cx="482685" cy="356616"/>
          </a:xfrm>
          <a:prstGeom prst="rect">
            <a:avLst/>
          </a:prstGeom>
        </xdr:spPr>
      </xdr:pic>
    </xdr:grpSp>
    <xdr:clientData/>
  </xdr:twoCellAnchor>
  <xdr:twoCellAnchor>
    <xdr:from>
      <xdr:col>0</xdr:col>
      <xdr:colOff>547899</xdr:colOff>
      <xdr:row>54</xdr:row>
      <xdr:rowOff>152717</xdr:rowOff>
    </xdr:from>
    <xdr:to>
      <xdr:col>1</xdr:col>
      <xdr:colOff>2220615</xdr:colOff>
      <xdr:row>56</xdr:row>
      <xdr:rowOff>128333</xdr:rowOff>
    </xdr:to>
    <xdr:grpSp>
      <xdr:nvGrpSpPr>
        <xdr:cNvPr id="19" name="Group 18">
          <a:extLst>
            <a:ext uri="{FF2B5EF4-FFF2-40B4-BE49-F238E27FC236}">
              <a16:creationId xmlns:a16="http://schemas.microsoft.com/office/drawing/2014/main" id="{8908DE80-CBDC-46BF-A1D9-D258E3790FF2}"/>
            </a:ext>
          </a:extLst>
        </xdr:cNvPr>
        <xdr:cNvGrpSpPr/>
      </xdr:nvGrpSpPr>
      <xdr:grpSpPr>
        <a:xfrm>
          <a:off x="547899" y="10607357"/>
          <a:ext cx="2541396" cy="341376"/>
          <a:chOff x="547899" y="11011217"/>
          <a:chExt cx="2520441" cy="356616"/>
        </a:xfrm>
      </xdr:grpSpPr>
      <xdr:sp macro="" textlink="">
        <xdr:nvSpPr>
          <xdr:cNvPr id="84" name="Step" descr="Free Excel training online, hyperlinked to web&#10;">
            <a:hlinkClick xmlns:r="http://schemas.openxmlformats.org/officeDocument/2006/relationships" r:id="rId9" tooltip="Select to learn about free Excel training on the web"/>
            <a:extLst>
              <a:ext uri="{FF2B5EF4-FFF2-40B4-BE49-F238E27FC236}">
                <a16:creationId xmlns:a16="http://schemas.microsoft.com/office/drawing/2014/main" id="{135564DB-95BA-4D69-9BB4-47DFF364A7BC}"/>
              </a:ext>
            </a:extLst>
          </xdr:cNvPr>
          <xdr:cNvSpPr txBox="1"/>
        </xdr:nvSpPr>
        <xdr:spPr>
          <a:xfrm>
            <a:off x="1016132" y="11062558"/>
            <a:ext cx="2052208" cy="249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85" name="Graphic 22" descr="Arrow">
            <a:hlinkClick xmlns:r="http://schemas.openxmlformats.org/officeDocument/2006/relationships" r:id="rId9" tooltip="Select to learn more from the web"/>
            <a:extLst>
              <a:ext uri="{FF2B5EF4-FFF2-40B4-BE49-F238E27FC236}">
                <a16:creationId xmlns:a16="http://schemas.microsoft.com/office/drawing/2014/main" id="{AA546C46-C995-4176-9059-E4AB72A3A1F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47899" y="11011217"/>
            <a:ext cx="482685" cy="356616"/>
          </a:xfrm>
          <a:prstGeom prst="rect">
            <a:avLst/>
          </a:prstGeom>
        </xdr:spPr>
      </xdr:pic>
    </xdr:grpSp>
    <xdr:clientData/>
  </xdr:twoCellAnchor>
  <xdr:twoCellAnchor>
    <xdr:from>
      <xdr:col>0</xdr:col>
      <xdr:colOff>333375</xdr:colOff>
      <xdr:row>0</xdr:row>
      <xdr:rowOff>352425</xdr:rowOff>
    </xdr:from>
    <xdr:to>
      <xdr:col>1</xdr:col>
      <xdr:colOff>5532120</xdr:colOff>
      <xdr:row>22</xdr:row>
      <xdr:rowOff>161925</xdr:rowOff>
    </xdr:to>
    <xdr:grpSp>
      <xdr:nvGrpSpPr>
        <xdr:cNvPr id="86" name="Group 85">
          <a:extLst>
            <a:ext uri="{FF2B5EF4-FFF2-40B4-BE49-F238E27FC236}">
              <a16:creationId xmlns:a16="http://schemas.microsoft.com/office/drawing/2014/main" id="{95BF5A4D-3D39-4151-ADB7-3BD1C77C7AAA}"/>
            </a:ext>
          </a:extLst>
        </xdr:cNvPr>
        <xdr:cNvGrpSpPr/>
      </xdr:nvGrpSpPr>
      <xdr:grpSpPr>
        <a:xfrm>
          <a:off x="333375" y="352425"/>
          <a:ext cx="6067425" cy="4411980"/>
          <a:chOff x="0" y="0"/>
          <a:chExt cx="5734050" cy="4572000"/>
        </a:xfrm>
      </xdr:grpSpPr>
      <xdr:grpSp>
        <xdr:nvGrpSpPr>
          <xdr:cNvPr id="87" name="grp_TourPane">
            <a:extLst>
              <a:ext uri="{FF2B5EF4-FFF2-40B4-BE49-F238E27FC236}">
                <a16:creationId xmlns:a16="http://schemas.microsoft.com/office/drawing/2014/main" id="{A96CA760-E119-42E0-81B0-6FF77D9AC3C8}"/>
              </a:ext>
            </a:extLst>
          </xdr:cNvPr>
          <xdr:cNvGrpSpPr/>
        </xdr:nvGrpSpPr>
        <xdr:grpSpPr>
          <a:xfrm>
            <a:off x="0" y="0"/>
            <a:ext cx="5734050" cy="4572000"/>
            <a:chOff x="609600" y="1524000"/>
            <a:chExt cx="5695950" cy="4572000"/>
          </a:xfrm>
        </xdr:grpSpPr>
        <xdr:sp macro="" textlink="">
          <xdr:nvSpPr>
            <xdr:cNvPr id="97" name="txt_TourBackground" descr="Background">
              <a:extLst>
                <a:ext uri="{FF2B5EF4-FFF2-40B4-BE49-F238E27FC236}">
                  <a16:creationId xmlns:a16="http://schemas.microsoft.com/office/drawing/2014/main" id="{81E66454-B3D1-4304-95E2-8BD4F5D909D9}"/>
                </a:ext>
              </a:extLst>
            </xdr:cNvPr>
            <xdr:cNvSpPr/>
          </xdr:nvSpPr>
          <xdr:spPr>
            <a:xfrm>
              <a:off x="609600" y="1524000"/>
              <a:ext cx="5695950" cy="45720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98" name="txt_TourHeader" descr="Joining text from different cells">
              <a:extLst>
                <a:ext uri="{FF2B5EF4-FFF2-40B4-BE49-F238E27FC236}">
                  <a16:creationId xmlns:a16="http://schemas.microsoft.com/office/drawing/2014/main" id="{64DE63A8-C533-4A24-94EE-0182FFA6A743}"/>
                </a:ext>
              </a:extLst>
            </xdr:cNvPr>
            <xdr:cNvSpPr txBox="1"/>
          </xdr:nvSpPr>
          <xdr:spPr>
            <a:xfrm>
              <a:off x="849300" y="1619249"/>
              <a:ext cx="5216551"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Jonction de texte à partir de différentes cellules</a:t>
              </a:r>
            </a:p>
          </xdr:txBody>
        </xdr:sp>
        <xdr:cxnSp macro="">
          <xdr:nvCxnSpPr>
            <xdr:cNvPr id="99" name="txt_TourLine1" descr="Decorative line">
              <a:extLst>
                <a:ext uri="{FF2B5EF4-FFF2-40B4-BE49-F238E27FC236}">
                  <a16:creationId xmlns:a16="http://schemas.microsoft.com/office/drawing/2014/main" id="{56CCBBC6-CEA3-4A11-91B0-C552C6DD564E}"/>
                </a:ext>
              </a:extLst>
            </xdr:cNvPr>
            <xdr:cNvCxnSpPr>
              <a:cxnSpLocks/>
            </xdr:cNvCxnSpPr>
          </xdr:nvCxnSpPr>
          <xdr:spPr>
            <a:xfrm>
              <a:off x="850887" y="2190751"/>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0" name="txt_TourLine2" descr="Decorative line">
              <a:extLst>
                <a:ext uri="{FF2B5EF4-FFF2-40B4-BE49-F238E27FC236}">
                  <a16:creationId xmlns:a16="http://schemas.microsoft.com/office/drawing/2014/main" id="{D1E1815B-B93B-4FAB-BF34-F8EBD480D0BC}"/>
                </a:ext>
              </a:extLst>
            </xdr:cNvPr>
            <xdr:cNvCxnSpPr>
              <a:cxnSpLocks/>
            </xdr:cNvCxnSpPr>
          </xdr:nvCxnSpPr>
          <xdr:spPr>
            <a:xfrm>
              <a:off x="850887" y="5355166"/>
              <a:ext cx="521337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1" name="txt_TourIntro" descr="There are many times in Excel when you want to join text that's in different cells. This example is very common, where you have first and last names, and want to combine them as first name, last name, or full name. Fortunately, Excel lets us do that with the &amp; sign (Shift+7).">
              <a:extLst>
                <a:ext uri="{FF2B5EF4-FFF2-40B4-BE49-F238E27FC236}">
                  <a16:creationId xmlns:a16="http://schemas.microsoft.com/office/drawing/2014/main" id="{D2702511-4771-4838-A3C1-0C5BA687014B}"/>
                </a:ext>
              </a:extLst>
            </xdr:cNvPr>
            <xdr:cNvSpPr txBox="1"/>
          </xdr:nvSpPr>
          <xdr:spPr>
            <a:xfrm>
              <a:off x="632849" y="2224166"/>
              <a:ext cx="561547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Il y a de nombreuses fois dans Excel où vous souhaitez joindre du texte qui se trouve dans différentes cellules. Cet exemple est très courant, où vous avez le prénom et le nom de famille et que vous souhaitez les combiner en tant que prénom, nom de famille ou nom complet. Heureusement, Excel nous permet de le faire avec le signe Esperluette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que vous pouvez entrer avec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Maj+1</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grpSp>
      <xdr:grpSp>
        <xdr:nvGrpSpPr>
          <xdr:cNvPr id="88" name="grp_Step">
            <a:extLst>
              <a:ext uri="{FF2B5EF4-FFF2-40B4-BE49-F238E27FC236}">
                <a16:creationId xmlns:a16="http://schemas.microsoft.com/office/drawing/2014/main" id="{C22B3EA9-DB64-4F67-BB25-AB505C9F6071}"/>
              </a:ext>
            </a:extLst>
          </xdr:cNvPr>
          <xdr:cNvGrpSpPr/>
        </xdr:nvGrpSpPr>
        <xdr:grpSpPr>
          <a:xfrm>
            <a:off x="230923" y="1731428"/>
            <a:ext cx="5220102" cy="596207"/>
            <a:chOff x="583519" y="7913153"/>
            <a:chExt cx="5186235" cy="596207"/>
          </a:xfrm>
        </xdr:grpSpPr>
        <xdr:sp macro="" textlink="">
          <xdr:nvSpPr>
            <xdr:cNvPr id="95" name="txt_Step" descr="In cell E3, enter =D3&amp;C3 to join the last and first names. ">
              <a:extLst>
                <a:ext uri="{FF2B5EF4-FFF2-40B4-BE49-F238E27FC236}">
                  <a16:creationId xmlns:a16="http://schemas.microsoft.com/office/drawing/2014/main" id="{2019278A-5B82-42D4-A9E1-AB92ED21BA21}"/>
                </a:ext>
              </a:extLst>
            </xdr:cNvPr>
            <xdr:cNvSpPr txBox="1"/>
          </xdr:nvSpPr>
          <xdr:spPr>
            <a:xfrm>
              <a:off x="991215" y="7955111"/>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Dans la cellule E3, entrez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=D3&amp;C3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pour joindre le nom et le prénom. </a:t>
              </a:r>
              <a:b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b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96" name="shp_Step" descr="1">
              <a:extLst>
                <a:ext uri="{FF2B5EF4-FFF2-40B4-BE49-F238E27FC236}">
                  <a16:creationId xmlns:a16="http://schemas.microsoft.com/office/drawing/2014/main" id="{08E6959D-49D7-4904-81A7-E70CA3454C0B}"/>
                </a:ext>
              </a:extLst>
            </xdr:cNvPr>
            <xdr:cNvSpPr/>
          </xdr:nvSpPr>
          <xdr:spPr>
            <a:xfrm>
              <a:off x="583519" y="7913153"/>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9" name="grp_Step">
            <a:extLst>
              <a:ext uri="{FF2B5EF4-FFF2-40B4-BE49-F238E27FC236}">
                <a16:creationId xmlns:a16="http://schemas.microsoft.com/office/drawing/2014/main" id="{2404CB22-1164-47A4-9503-5F5194382641}"/>
              </a:ext>
            </a:extLst>
          </xdr:cNvPr>
          <xdr:cNvGrpSpPr/>
        </xdr:nvGrpSpPr>
        <xdr:grpSpPr>
          <a:xfrm>
            <a:off x="230923" y="2269591"/>
            <a:ext cx="5220102" cy="950154"/>
            <a:chOff x="583519" y="7913153"/>
            <a:chExt cx="5186235" cy="950154"/>
          </a:xfrm>
        </xdr:grpSpPr>
        <xdr:sp macro="" textlink="">
          <xdr:nvSpPr>
            <xdr:cNvPr id="93" name="txt_Step" descr="SmithNancy doesn't look quite right though. We need to add a comma and a space. To do that we'll use quotes to create a new text string. This time, enter =D3&amp;&quot;, &quot;&amp;C3. The &amp;&quot;, &quot;&amp; portion lets us join the comma and space with the text in the cells.&#10;">
              <a:extLst>
                <a:ext uri="{FF2B5EF4-FFF2-40B4-BE49-F238E27FC236}">
                  <a16:creationId xmlns:a16="http://schemas.microsoft.com/office/drawing/2014/main" id="{08674DB0-339E-4450-B5D1-99B77DC0D664}"/>
                </a:ext>
              </a:extLst>
            </xdr:cNvPr>
            <xdr:cNvSpPr txBox="1"/>
          </xdr:nvSpPr>
          <xdr:spPr>
            <a:xfrm>
              <a:off x="991215" y="7926535"/>
              <a:ext cx="4778539" cy="9367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SmithNancy</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n’a pas l’air tout à fait bien. Nous devons ajouter une virgule et un espace. Pour ce faire, nous allons utiliser des guillemets pour créer une nouvelle chaîne de texte. Cette fois, entrez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=D3&amp; ", " &amp;C3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La partie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&amp;</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nous permet de joindre une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virgule</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un espace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avec le texte dans les cellules.</a:t>
              </a:r>
            </a:p>
          </xdr:txBody>
        </xdr:sp>
        <xdr:sp macro="" textlink="">
          <xdr:nvSpPr>
            <xdr:cNvPr id="94" name="shp_Step" descr="2">
              <a:extLst>
                <a:ext uri="{FF2B5EF4-FFF2-40B4-BE49-F238E27FC236}">
                  <a16:creationId xmlns:a16="http://schemas.microsoft.com/office/drawing/2014/main" id="{5F7A5327-6FDF-46BB-9B7E-8EB24A3ABBF2}"/>
                </a:ext>
              </a:extLst>
            </xdr:cNvPr>
            <xdr:cNvSpPr/>
          </xdr:nvSpPr>
          <xdr:spPr>
            <a:xfrm>
              <a:off x="583519" y="7913153"/>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90" name="grp_Step">
            <a:extLst>
              <a:ext uri="{FF2B5EF4-FFF2-40B4-BE49-F238E27FC236}">
                <a16:creationId xmlns:a16="http://schemas.microsoft.com/office/drawing/2014/main" id="{C702821E-6BD4-4022-98BD-DE7E30FD3E4C}"/>
              </a:ext>
            </a:extLst>
          </xdr:cNvPr>
          <xdr:cNvGrpSpPr/>
        </xdr:nvGrpSpPr>
        <xdr:grpSpPr>
          <a:xfrm>
            <a:off x="230923" y="3207803"/>
            <a:ext cx="5220102" cy="596207"/>
            <a:chOff x="583519" y="7913153"/>
            <a:chExt cx="5186235" cy="596207"/>
          </a:xfrm>
        </xdr:grpSpPr>
        <xdr:sp macro="" textlink="">
          <xdr:nvSpPr>
            <xdr:cNvPr id="91" name="txt_Step" descr="To create the full name, we'll join first and last name, but use a space without a comma. In F3, enter =C3&amp;&quot; &quot;&amp;D3.">
              <a:extLst>
                <a:ext uri="{FF2B5EF4-FFF2-40B4-BE49-F238E27FC236}">
                  <a16:creationId xmlns:a16="http://schemas.microsoft.com/office/drawing/2014/main" id="{CEF374DD-E735-4BAD-8507-D3231A999B36}"/>
                </a:ext>
              </a:extLst>
            </xdr:cNvPr>
            <xdr:cNvSpPr txBox="1"/>
          </xdr:nvSpPr>
          <xdr:spPr>
            <a:xfrm>
              <a:off x="991215" y="7955111"/>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Pour créer le nom complet, nous allons joindre le prénom et le nom, mais en utilisant un espace sans virgule. Dans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entrez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=C3&amp; " " &amp;D3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xdr:txBody>
        </xdr:sp>
        <xdr:sp macro="" textlink="">
          <xdr:nvSpPr>
            <xdr:cNvPr id="92" name="shp_Step" descr="3">
              <a:extLst>
                <a:ext uri="{FF2B5EF4-FFF2-40B4-BE49-F238E27FC236}">
                  <a16:creationId xmlns:a16="http://schemas.microsoft.com/office/drawing/2014/main" id="{9477BB36-AB74-47F3-A687-1A347B7E572C}"/>
                </a:ext>
              </a:extLst>
            </xdr:cNvPr>
            <xdr:cNvSpPr/>
          </xdr:nvSpPr>
          <xdr:spPr>
            <a:xfrm>
              <a:off x="583519" y="7913153"/>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581025</xdr:colOff>
      <xdr:row>19</xdr:row>
      <xdr:rowOff>142875</xdr:rowOff>
    </xdr:from>
    <xdr:to>
      <xdr:col>1</xdr:col>
      <xdr:colOff>2474582</xdr:colOff>
      <xdr:row>22</xdr:row>
      <xdr:rowOff>107062</xdr:rowOff>
    </xdr:to>
    <xdr:sp macro="" textlink="">
      <xdr:nvSpPr>
        <xdr:cNvPr id="102" name="btn_DeepDive" descr="Dive down for more detail">
          <a:hlinkClick xmlns:r="http://schemas.openxmlformats.org/officeDocument/2006/relationships" r:id="rId10"/>
          <a:extLst>
            <a:ext uri="{FF2B5EF4-FFF2-40B4-BE49-F238E27FC236}">
              <a16:creationId xmlns:a16="http://schemas.microsoft.com/office/drawing/2014/main" id="{C54CB2CE-20A2-44E1-8EB9-DA5F21EB9298}"/>
            </a:ext>
          </a:extLst>
        </xdr:cNvPr>
        <xdr:cNvSpPr/>
      </xdr:nvSpPr>
      <xdr:spPr>
        <a:xfrm>
          <a:off x="581025" y="4333875"/>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Descendez pour plus de détails</a:t>
          </a:r>
        </a:p>
      </xdr:txBody>
    </xdr:sp>
    <xdr:clientData/>
  </xdr:twoCellAnchor>
  <xdr:twoCellAnchor editAs="absolute">
    <xdr:from>
      <xdr:col>1</xdr:col>
      <xdr:colOff>3713211</xdr:colOff>
      <xdr:row>19</xdr:row>
      <xdr:rowOff>142875</xdr:rowOff>
    </xdr:from>
    <xdr:to>
      <xdr:col>1</xdr:col>
      <xdr:colOff>4988381</xdr:colOff>
      <xdr:row>21</xdr:row>
      <xdr:rowOff>97324</xdr:rowOff>
    </xdr:to>
    <xdr:sp macro="" textlink="">
      <xdr:nvSpPr>
        <xdr:cNvPr id="103"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2DE05C84-7047-4122-A2D6-137F3AEDBF12}"/>
            </a:ext>
          </a:extLst>
        </xdr:cNvPr>
        <xdr:cNvSpPr/>
      </xdr:nvSpPr>
      <xdr:spPr>
        <a:xfrm>
          <a:off x="4560936" y="43338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Suivant</a:t>
          </a:r>
        </a:p>
      </xdr:txBody>
    </xdr:sp>
    <xdr:clientData fPrintsWithSheet="0"/>
  </xdr:twoCellAnchor>
  <xdr:twoCellAnchor editAs="absolute">
    <xdr:from>
      <xdr:col>3</xdr:col>
      <xdr:colOff>1097280</xdr:colOff>
      <xdr:row>33</xdr:row>
      <xdr:rowOff>97155</xdr:rowOff>
    </xdr:from>
    <xdr:to>
      <xdr:col>6</xdr:col>
      <xdr:colOff>255269</xdr:colOff>
      <xdr:row>40</xdr:row>
      <xdr:rowOff>173356</xdr:rowOff>
    </xdr:to>
    <xdr:grpSp>
      <xdr:nvGrpSpPr>
        <xdr:cNvPr id="104" name="CHECK THIS OUT" descr="CHECK THIS OUT&#10;&#10;">
          <a:extLst>
            <a:ext uri="{FF2B5EF4-FFF2-40B4-BE49-F238E27FC236}">
              <a16:creationId xmlns:a16="http://schemas.microsoft.com/office/drawing/2014/main" id="{EFD4E48E-5D2B-4B5E-9DBB-99430A62BD96}"/>
            </a:ext>
          </a:extLst>
        </xdr:cNvPr>
        <xdr:cNvGrpSpPr/>
      </xdr:nvGrpSpPr>
      <xdr:grpSpPr>
        <a:xfrm>
          <a:off x="9486900" y="6711315"/>
          <a:ext cx="3288029" cy="1356361"/>
          <a:chOff x="7539454" y="7993902"/>
          <a:chExt cx="3209767" cy="1409701"/>
        </a:xfrm>
      </xdr:grpSpPr>
      <xdr:grpSp>
        <xdr:nvGrpSpPr>
          <xdr:cNvPr id="105" name="Bracket lines">
            <a:extLst>
              <a:ext uri="{FF2B5EF4-FFF2-40B4-BE49-F238E27FC236}">
                <a16:creationId xmlns:a16="http://schemas.microsoft.com/office/drawing/2014/main" id="{AA6B064F-4768-428F-88A8-87332CACD51B}"/>
              </a:ext>
            </a:extLst>
          </xdr:cNvPr>
          <xdr:cNvGrpSpPr/>
        </xdr:nvGrpSpPr>
        <xdr:grpSpPr>
          <a:xfrm rot="599914">
            <a:off x="7539454" y="8145377"/>
            <a:ext cx="293814" cy="698211"/>
            <a:chOff x="9871108" y="1184220"/>
            <a:chExt cx="273326" cy="789155"/>
          </a:xfrm>
        </xdr:grpSpPr>
        <xdr:sp macro="" textlink="">
          <xdr:nvSpPr>
            <xdr:cNvPr id="108" name="Another bracket line" descr="Bracket line">
              <a:extLst>
                <a:ext uri="{FF2B5EF4-FFF2-40B4-BE49-F238E27FC236}">
                  <a16:creationId xmlns:a16="http://schemas.microsoft.com/office/drawing/2014/main" id="{5570FA65-E17B-40B5-9CC7-154F3BD3440E}"/>
                </a:ext>
              </a:extLst>
            </xdr:cNvPr>
            <xdr:cNvSpPr/>
          </xdr:nvSpPr>
          <xdr:spPr>
            <a:xfrm>
              <a:off x="9871108" y="1184220"/>
              <a:ext cx="273326" cy="262769"/>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109" name="Bracket line" descr="Bracket line&#10;">
              <a:extLst>
                <a:ext uri="{FF2B5EF4-FFF2-40B4-BE49-F238E27FC236}">
                  <a16:creationId xmlns:a16="http://schemas.microsoft.com/office/drawing/2014/main" id="{4D189C00-D6D4-4561-92F7-346B05B04B41}"/>
                </a:ext>
              </a:extLst>
            </xdr:cNvPr>
            <xdr:cNvSpPr/>
          </xdr:nvSpPr>
          <xdr:spPr>
            <a:xfrm>
              <a:off x="9983011" y="1430777"/>
              <a:ext cx="160895" cy="542598"/>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106" name="Stars" descr="Stars">
            <a:extLst>
              <a:ext uri="{FF2B5EF4-FFF2-40B4-BE49-F238E27FC236}">
                <a16:creationId xmlns:a16="http://schemas.microsoft.com/office/drawing/2014/main" id="{4EF6B9B5-6A72-4ED6-A038-08F20F1BE97F}"/>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7830674" y="8038700"/>
            <a:ext cx="388098" cy="337815"/>
          </a:xfrm>
          <a:prstGeom prst="rect">
            <a:avLst/>
          </a:prstGeom>
        </xdr:spPr>
      </xdr:pic>
      <xdr:sp macro="" textlink="">
        <xdr:nvSpPr>
          <xdr:cNvPr id="107" name="Instructions" descr="CHECK THIS OUT&#10;Formulas, especially big ones, can sometimes be hard to read, but you can break up their parts with spaces like this:&#10;&#10;=C28 &amp; &quot; &quot; &amp; TEXT(D28,&quot;MM/DD/YYYY&quot;)&#10;">
            <a:extLst>
              <a:ext uri="{FF2B5EF4-FFF2-40B4-BE49-F238E27FC236}">
                <a16:creationId xmlns:a16="http://schemas.microsoft.com/office/drawing/2014/main" id="{E1E6E972-A734-4953-9B25-6280E9FDC77E}"/>
              </a:ext>
            </a:extLst>
          </xdr:cNvPr>
          <xdr:cNvSpPr txBox="1"/>
        </xdr:nvSpPr>
        <xdr:spPr>
          <a:xfrm>
            <a:off x="8132528" y="7993902"/>
            <a:ext cx="2616693"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ESSAYE</a:t>
            </a:r>
            <a:r>
              <a:rPr lang="en-US" sz="1200" b="1" kern="0" baseline="0">
                <a:solidFill>
                  <a:srgbClr val="ED7D31">
                    <a:lumMod val="60000"/>
                    <a:lumOff val="40000"/>
                  </a:srgbClr>
                </a:solidFill>
                <a:latin typeface="+mj-lt"/>
                <a:ea typeface="Segoe UI" pitchFamily="34" charset="0"/>
                <a:cs typeface="Segoe UI Light" panose="020B0502040204020203" pitchFamily="34" charset="0"/>
              </a:rPr>
              <a:t> CA</a:t>
            </a:r>
            <a:endParaRPr lang="en-US" sz="1200" b="1" kern="0">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Les formules, en particulier les grandes, peuvent parfois être difficiles à lire, mais vous pouvez séparer leurs parties avec des espaces comme celui-ci :</a:t>
            </a:r>
          </a:p>
          <a:p>
            <a:pPr lvl="0">
              <a:defRPr/>
            </a:pPr>
            <a:endParaRPr lang="en-US" sz="1100" kern="0" baseline="0">
              <a:solidFill>
                <a:schemeClr val="bg2">
                  <a:lumMod val="25000"/>
                </a:schemeClr>
              </a:solidFill>
              <a:latin typeface="+mn-lt"/>
              <a:ea typeface="Segoe UI" pitchFamily="34" charset="0"/>
              <a:cs typeface="Segoe UI Light" panose="020B0502040204020203" pitchFamily="34" charset="0"/>
            </a:endParaRPr>
          </a:p>
          <a:p>
            <a:pPr lvl="0">
              <a:defRPr/>
            </a:pPr>
            <a:r>
              <a:rPr lang="en-US" sz="1100" b="1">
                <a:solidFill>
                  <a:schemeClr val="bg2">
                    <a:lumMod val="25000"/>
                  </a:schemeClr>
                </a:solidFill>
                <a:latin typeface="+mn-lt"/>
                <a:ea typeface="Segoe UI" pitchFamily="34" charset="0"/>
                <a:cs typeface="Segoe UI Light" panose="020B0502040204020203" pitchFamily="34" charset="0"/>
              </a:rPr>
              <a:t>=C28 &amp; " " &amp; TEXTE(D28;"JJ/MM/AAAA")</a:t>
            </a:r>
          </a:p>
        </xdr:txBody>
      </xdr:sp>
    </xdr:grpSp>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342900</xdr:colOff>
      <xdr:row>0</xdr:row>
      <xdr:rowOff>361950</xdr:rowOff>
    </xdr:from>
    <xdr:to>
      <xdr:col>1</xdr:col>
      <xdr:colOff>5229225</xdr:colOff>
      <xdr:row>22</xdr:row>
      <xdr:rowOff>156549</xdr:rowOff>
    </xdr:to>
    <xdr:grpSp>
      <xdr:nvGrpSpPr>
        <xdr:cNvPr id="32" name="Group 31">
          <a:extLst>
            <a:ext uri="{FF2B5EF4-FFF2-40B4-BE49-F238E27FC236}">
              <a16:creationId xmlns:a16="http://schemas.microsoft.com/office/drawing/2014/main" id="{32765470-045A-4DC3-91A2-013AB95EB7BA}"/>
            </a:ext>
          </a:extLst>
        </xdr:cNvPr>
        <xdr:cNvGrpSpPr/>
      </xdr:nvGrpSpPr>
      <xdr:grpSpPr>
        <a:xfrm>
          <a:off x="342900" y="361950"/>
          <a:ext cx="5755005" cy="4450419"/>
          <a:chOff x="342900" y="361950"/>
          <a:chExt cx="5734050" cy="4557099"/>
        </a:xfrm>
      </xdr:grpSpPr>
      <xdr:grpSp>
        <xdr:nvGrpSpPr>
          <xdr:cNvPr id="70" name="Group 69">
            <a:extLst>
              <a:ext uri="{FF2B5EF4-FFF2-40B4-BE49-F238E27FC236}">
                <a16:creationId xmlns:a16="http://schemas.microsoft.com/office/drawing/2014/main" id="{070FF1E9-A14C-476A-A31F-8E531229B90A}"/>
              </a:ext>
            </a:extLst>
          </xdr:cNvPr>
          <xdr:cNvGrpSpPr/>
        </xdr:nvGrpSpPr>
        <xdr:grpSpPr>
          <a:xfrm>
            <a:off x="342900" y="361950"/>
            <a:ext cx="5734050" cy="4557099"/>
            <a:chOff x="342900" y="342900"/>
            <a:chExt cx="5734050" cy="4419600"/>
          </a:xfrm>
        </xdr:grpSpPr>
        <xdr:sp macro="" textlink="">
          <xdr:nvSpPr>
            <xdr:cNvPr id="76" name="txt_TourBackground" descr="Background">
              <a:extLst>
                <a:ext uri="{FF2B5EF4-FFF2-40B4-BE49-F238E27FC236}">
                  <a16:creationId xmlns:a16="http://schemas.microsoft.com/office/drawing/2014/main" id="{32129052-3339-477F-8788-8EA08A10AD5C}"/>
                </a:ext>
              </a:extLst>
            </xdr:cNvPr>
            <xdr:cNvSpPr/>
          </xdr:nvSpPr>
          <xdr:spPr>
            <a:xfrm>
              <a:off x="342900" y="342900"/>
              <a:ext cx="5734050" cy="441960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77" name="txt_TourHeader" descr="IF statements">
              <a:extLst>
                <a:ext uri="{FF2B5EF4-FFF2-40B4-BE49-F238E27FC236}">
                  <a16:creationId xmlns:a16="http://schemas.microsoft.com/office/drawing/2014/main" id="{D2D2176E-742F-483D-81E1-ED859FF4E49A}"/>
                </a:ext>
              </a:extLst>
            </xdr:cNvPr>
            <xdr:cNvSpPr txBox="1"/>
          </xdr:nvSpPr>
          <xdr:spPr>
            <a:xfrm>
              <a:off x="555628" y="43814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Instruction SI</a:t>
              </a:r>
              <a:endParaRPr kumimoji="0" lang="en-US" sz="2200" b="1"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endParaRPr>
            </a:p>
          </xdr:txBody>
        </xdr:sp>
        <xdr:cxnSp macro="">
          <xdr:nvCxnSpPr>
            <xdr:cNvPr id="78" name="txt_TourLine1" descr="Decorative line">
              <a:extLst>
                <a:ext uri="{FF2B5EF4-FFF2-40B4-BE49-F238E27FC236}">
                  <a16:creationId xmlns:a16="http://schemas.microsoft.com/office/drawing/2014/main" id="{983C4C13-C094-4FE6-8183-AEA6A2CA096C}"/>
                </a:ext>
              </a:extLst>
            </xdr:cNvPr>
            <xdr:cNvCxnSpPr>
              <a:cxnSpLocks/>
            </xdr:cNvCxnSpPr>
          </xdr:nvCxnSpPr>
          <xdr:spPr>
            <a:xfrm>
              <a:off x="555628" y="100965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9" name="txt_TourLine2" descr="Decorative line">
              <a:extLst>
                <a:ext uri="{FF2B5EF4-FFF2-40B4-BE49-F238E27FC236}">
                  <a16:creationId xmlns:a16="http://schemas.microsoft.com/office/drawing/2014/main" id="{B9B7D386-28D6-4E40-BBBD-81C9A5683619}"/>
                </a:ext>
              </a:extLst>
            </xdr:cNvPr>
            <xdr:cNvCxnSpPr>
              <a:cxnSpLocks/>
            </xdr:cNvCxnSpPr>
          </xdr:nvCxnSpPr>
          <xdr:spPr>
            <a:xfrm>
              <a:off x="555628" y="393594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80" name="txt_TourIntro" descr="IF statements allow you to make logical comparisons between conditions. An IF statement generally says that if one condition is true do something, otherwise the condition is false, so do something else. The formulas can return text, values, or even more calculations.&#10;">
              <a:extLst>
                <a:ext uri="{FF2B5EF4-FFF2-40B4-BE49-F238E27FC236}">
                  <a16:creationId xmlns:a16="http://schemas.microsoft.com/office/drawing/2014/main" id="{29E75ED7-FFEA-4CE5-86E1-A1A772619057}"/>
                </a:ext>
              </a:extLst>
            </xdr:cNvPr>
            <xdr:cNvSpPr txBox="1"/>
          </xdr:nvSpPr>
          <xdr:spPr>
            <a:xfrm>
              <a:off x="562138" y="1043066"/>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Les instructions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SI</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vous permettent d’effectuer des comparaisons logiques entre les conditions. Une déclaration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SI </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dit généralement que si une condition est vraie, faites quelque chose, sinon faites autre chose. Les formules peuvent renvoyer du texte, des valeurs ou même d’autres calculs.</a:t>
              </a:r>
            </a:p>
          </xdr:txBody>
        </xdr:sp>
      </xdr:grpSp>
      <xdr:grpSp>
        <xdr:nvGrpSpPr>
          <xdr:cNvPr id="81" name="grp_Step">
            <a:extLst>
              <a:ext uri="{FF2B5EF4-FFF2-40B4-BE49-F238E27FC236}">
                <a16:creationId xmlns:a16="http://schemas.microsoft.com/office/drawing/2014/main" id="{62718C28-6D67-47F6-B4B4-619E5B81F03D}"/>
              </a:ext>
            </a:extLst>
          </xdr:cNvPr>
          <xdr:cNvGrpSpPr/>
        </xdr:nvGrpSpPr>
        <xdr:grpSpPr>
          <a:xfrm>
            <a:off x="571500" y="1962150"/>
            <a:ext cx="5305429" cy="596207"/>
            <a:chOff x="666377" y="7810500"/>
            <a:chExt cx="5271008" cy="596207"/>
          </a:xfrm>
        </xdr:grpSpPr>
        <xdr:sp macro="" textlink="">
          <xdr:nvSpPr>
            <xdr:cNvPr id="82" name="txt_Step" descr="In cell D9 enter =IF(C9=&quot;Apple&quot;,TRUE,FALSE). The correct answer is TRUE. &#10;&#10;&#10;">
              <a:extLst>
                <a:ext uri="{FF2B5EF4-FFF2-40B4-BE49-F238E27FC236}">
                  <a16:creationId xmlns:a16="http://schemas.microsoft.com/office/drawing/2014/main" id="{C9F56A19-70D3-4628-8709-84489EA24BB0}"/>
                </a:ext>
              </a:extLst>
            </xdr:cNvPr>
            <xdr:cNvSpPr txBox="1"/>
          </xdr:nvSpPr>
          <xdr:spPr>
            <a:xfrm>
              <a:off x="1074075" y="7852458"/>
              <a:ext cx="4863310"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Dans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D9</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entrez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=SI(C9="Pomme";VRAI;FAUX)</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La bonne réponse est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VRAI</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83" name="shp_Step" descr="1">
              <a:extLst>
                <a:ext uri="{FF2B5EF4-FFF2-40B4-BE49-F238E27FC236}">
                  <a16:creationId xmlns:a16="http://schemas.microsoft.com/office/drawing/2014/main" id="{174BEEAC-1D05-4BA3-8D44-772CDEFA2E58}"/>
                </a:ext>
              </a:extLst>
            </xdr:cNvPr>
            <xdr:cNvSpPr/>
          </xdr:nvSpPr>
          <xdr:spPr>
            <a:xfrm>
              <a:off x="666377" y="7810500"/>
              <a:ext cx="372192"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84" name="grp_Step">
            <a:extLst>
              <a:ext uri="{FF2B5EF4-FFF2-40B4-BE49-F238E27FC236}">
                <a16:creationId xmlns:a16="http://schemas.microsoft.com/office/drawing/2014/main" id="{685246AB-9501-4CF4-B780-BCFC62DE94CD}"/>
              </a:ext>
            </a:extLst>
          </xdr:cNvPr>
          <xdr:cNvGrpSpPr/>
        </xdr:nvGrpSpPr>
        <xdr:grpSpPr>
          <a:xfrm>
            <a:off x="571500" y="2540000"/>
            <a:ext cx="5220103" cy="596207"/>
            <a:chOff x="685304" y="7810500"/>
            <a:chExt cx="5186236" cy="596207"/>
          </a:xfrm>
        </xdr:grpSpPr>
        <xdr:sp macro="" textlink="">
          <xdr:nvSpPr>
            <xdr:cNvPr id="85" name="txt_Step" descr="Copy D9 to D10. The answer here should be FALSE, because an orange is not an apple.&#10;&#10;">
              <a:extLst>
                <a:ext uri="{FF2B5EF4-FFF2-40B4-BE49-F238E27FC236}">
                  <a16:creationId xmlns:a16="http://schemas.microsoft.com/office/drawing/2014/main" id="{D8F2AE5E-974E-4202-A290-3F2D0EFF00C4}"/>
                </a:ext>
              </a:extLst>
            </xdr:cNvPr>
            <xdr:cNvSpPr txBox="1"/>
          </xdr:nvSpPr>
          <xdr:spPr>
            <a:xfrm>
              <a:off x="1093001"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Copiez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D9</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dans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D10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La réponse ici devrait être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FAUX</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car une orange n’est pas une pomme.</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6" name="shp_Step" descr="2">
              <a:extLst>
                <a:ext uri="{FF2B5EF4-FFF2-40B4-BE49-F238E27FC236}">
                  <a16:creationId xmlns:a16="http://schemas.microsoft.com/office/drawing/2014/main" id="{19487CBB-1C21-45D8-828F-6A02011E52A3}"/>
                </a:ext>
              </a:extLst>
            </xdr:cNvPr>
            <xdr:cNvSpPr/>
          </xdr:nvSpPr>
          <xdr:spPr>
            <a:xfrm>
              <a:off x="685304"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87" name="grp_Step">
            <a:extLst>
              <a:ext uri="{FF2B5EF4-FFF2-40B4-BE49-F238E27FC236}">
                <a16:creationId xmlns:a16="http://schemas.microsoft.com/office/drawing/2014/main" id="{90938F22-5BF3-4461-BD80-06D3D6849C8F}"/>
              </a:ext>
            </a:extLst>
          </xdr:cNvPr>
          <xdr:cNvGrpSpPr/>
        </xdr:nvGrpSpPr>
        <xdr:grpSpPr>
          <a:xfrm>
            <a:off x="571500" y="3165475"/>
            <a:ext cx="5220103" cy="596207"/>
            <a:chOff x="694767" y="7810500"/>
            <a:chExt cx="5186236" cy="596207"/>
          </a:xfrm>
        </xdr:grpSpPr>
        <xdr:sp macro="" textlink="">
          <xdr:nvSpPr>
            <xdr:cNvPr id="88" name="txt_Step" descr="Try another example by looking at the formula in cell D12. We got you started with =IF(C12&lt;100,&quot;Less than 100&quot;,&quot;Greater than or equal to 100&quot;). What happens if you enter a number greater than 100 in cell C12?&#10;&#10;&#10;">
              <a:extLst>
                <a:ext uri="{FF2B5EF4-FFF2-40B4-BE49-F238E27FC236}">
                  <a16:creationId xmlns:a16="http://schemas.microsoft.com/office/drawing/2014/main" id="{E7088066-5C93-42EC-B66E-113D20980BB7}"/>
                </a:ext>
              </a:extLst>
            </xdr:cNvPr>
            <xdr:cNvSpPr txBox="1"/>
          </xdr:nvSpPr>
          <xdr:spPr>
            <a:xfrm>
              <a:off x="1102464"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Essayez un autre exemple en regardant la formule de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D12</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Nous vous avons fait commencer avec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=SI(C12&lt;100 ;" Moins de 100" ; " Supérieur ou égal à 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Que se passe-t-il si vous entrez un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nombre supérieur ou égal à 100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dans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C12</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p>
          </xdr:txBody>
        </xdr:sp>
        <xdr:sp macro="" textlink="">
          <xdr:nvSpPr>
            <xdr:cNvPr id="89" name="shp_Step" descr="3">
              <a:extLst>
                <a:ext uri="{FF2B5EF4-FFF2-40B4-BE49-F238E27FC236}">
                  <a16:creationId xmlns:a16="http://schemas.microsoft.com/office/drawing/2014/main" id="{A56BE1C1-41E9-483F-8A60-96A96BBFD3A7}"/>
                </a:ext>
              </a:extLst>
            </xdr:cNvPr>
            <xdr:cNvSpPr/>
          </xdr:nvSpPr>
          <xdr:spPr>
            <a:xfrm>
              <a:off x="694767"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1</xdr:col>
      <xdr:colOff>3684072</xdr:colOff>
      <xdr:row>19</xdr:row>
      <xdr:rowOff>76200</xdr:rowOff>
    </xdr:from>
    <xdr:to>
      <xdr:col>1</xdr:col>
      <xdr:colOff>4959242</xdr:colOff>
      <xdr:row>21</xdr:row>
      <xdr:rowOff>30649</xdr:rowOff>
    </xdr:to>
    <xdr:sp macro="" textlink="">
      <xdr:nvSpPr>
        <xdr:cNvPr id="90"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A98A8F02-A704-4521-9F8F-C54B0653E78B}"/>
            </a:ext>
          </a:extLst>
        </xdr:cNvPr>
        <xdr:cNvSpPr/>
      </xdr:nvSpPr>
      <xdr:spPr>
        <a:xfrm>
          <a:off x="4531797" y="426720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Suivant</a:t>
          </a:r>
        </a:p>
      </xdr:txBody>
    </xdr:sp>
    <xdr:clientData/>
  </xdr:twoCellAnchor>
  <xdr:twoCellAnchor editAs="absolute">
    <xdr:from>
      <xdr:col>2</xdr:col>
      <xdr:colOff>420093</xdr:colOff>
      <xdr:row>13</xdr:row>
      <xdr:rowOff>173238</xdr:rowOff>
    </xdr:from>
    <xdr:to>
      <xdr:col>5</xdr:col>
      <xdr:colOff>581036</xdr:colOff>
      <xdr:row>22</xdr:row>
      <xdr:rowOff>0</xdr:rowOff>
    </xdr:to>
    <xdr:grpSp>
      <xdr:nvGrpSpPr>
        <xdr:cNvPr id="91" name="IMPORTANT DETAIL" descr="IMPORTANT DETAIL&#10;&#10;">
          <a:extLst>
            <a:ext uri="{FF2B5EF4-FFF2-40B4-BE49-F238E27FC236}">
              <a16:creationId xmlns:a16="http://schemas.microsoft.com/office/drawing/2014/main" id="{4DBA7152-B8FD-4056-917A-B7F06AE8B67E}"/>
            </a:ext>
          </a:extLst>
        </xdr:cNvPr>
        <xdr:cNvGrpSpPr/>
      </xdr:nvGrpSpPr>
      <xdr:grpSpPr>
        <a:xfrm>
          <a:off x="6973293" y="3175518"/>
          <a:ext cx="3734723" cy="1480302"/>
          <a:chOff x="6863991" y="11363325"/>
          <a:chExt cx="2736277" cy="1199442"/>
        </a:xfrm>
      </xdr:grpSpPr>
      <xdr:sp macro="" textlink="">
        <xdr:nvSpPr>
          <xdr:cNvPr id="92" name="Instruction" descr="IMPORTANT DETAIL&#10;TRUE and FALSE are unlike other words in Excel formulas in that they don't need to be in quotes, and Excel will automatically capitalize them. Numbers don't need to be in quotes either. Regular text, like Yes or No does need to be in quotes like this: =IF(C3=&quot;Apple&quot;,&quot;Yes&quot;,&quot;No&quot;)&#10;">
            <a:extLst>
              <a:ext uri="{FF2B5EF4-FFF2-40B4-BE49-F238E27FC236}">
                <a16:creationId xmlns:a16="http://schemas.microsoft.com/office/drawing/2014/main" id="{D4187BF2-8C2C-463C-B620-D3FC580541A4}"/>
              </a:ext>
            </a:extLst>
          </xdr:cNvPr>
          <xdr:cNvSpPr txBox="1"/>
        </xdr:nvSpPr>
        <xdr:spPr>
          <a:xfrm>
            <a:off x="7073900" y="11363325"/>
            <a:ext cx="2526368" cy="119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DÉTAIL IMPORTANT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VRAI</a:t>
            </a:r>
            <a:r>
              <a:rPr lang="en-US" sz="1100" b="0" i="0" kern="1200" baseline="0">
                <a:solidFill>
                  <a:schemeClr val="dk1"/>
                </a:solidFill>
                <a:effectLst/>
                <a:latin typeface="+mn-lt"/>
                <a:ea typeface="+mn-ea"/>
                <a:cs typeface="+mn-cs"/>
              </a:rPr>
              <a:t> et </a:t>
            </a:r>
            <a:r>
              <a:rPr lang="en-US" sz="1100" b="1" i="0" kern="1200" baseline="0">
                <a:solidFill>
                  <a:schemeClr val="dk1"/>
                </a:solidFill>
                <a:effectLst/>
                <a:latin typeface="+mn-lt"/>
                <a:ea typeface="+mn-ea"/>
                <a:cs typeface="+mn-cs"/>
              </a:rPr>
              <a:t>FAUX</a:t>
            </a:r>
            <a:r>
              <a:rPr lang="en-US" sz="1100" b="0" i="0" kern="1200" baseline="0">
                <a:solidFill>
                  <a:schemeClr val="dk1"/>
                </a:solidFill>
                <a:effectLst/>
                <a:latin typeface="+mn-lt"/>
                <a:ea typeface="+mn-ea"/>
                <a:cs typeface="+mn-cs"/>
              </a:rPr>
              <a:t> sont différents des autres mots dans les formules Excel en ce sens qu’ils n’ont pas besoin d’être entre guillemets et qu’Excel les mettra automatiquement en majuscules. Les chiffres n’ont pas non plus besoin d’être entre guillemets. Le texte normal, comme </a:t>
            </a:r>
            <a:r>
              <a:rPr lang="en-US" sz="1100" b="1" i="0" kern="1200" baseline="0">
                <a:solidFill>
                  <a:schemeClr val="dk1"/>
                </a:solidFill>
                <a:effectLst/>
                <a:latin typeface="+mn-lt"/>
                <a:ea typeface="+mn-ea"/>
                <a:cs typeface="+mn-cs"/>
              </a:rPr>
              <a:t>Oui</a:t>
            </a:r>
            <a:r>
              <a:rPr lang="en-US" sz="1100" b="0" i="0" kern="1200" baseline="0">
                <a:solidFill>
                  <a:schemeClr val="dk1"/>
                </a:solidFill>
                <a:effectLst/>
                <a:latin typeface="+mn-lt"/>
                <a:ea typeface="+mn-ea"/>
                <a:cs typeface="+mn-cs"/>
              </a:rPr>
              <a:t> ou </a:t>
            </a:r>
            <a:r>
              <a:rPr lang="en-US" sz="1100" b="1" i="0" kern="1200" baseline="0">
                <a:solidFill>
                  <a:schemeClr val="dk1"/>
                </a:solidFill>
                <a:effectLst/>
                <a:latin typeface="+mn-lt"/>
                <a:ea typeface="+mn-ea"/>
                <a:cs typeface="+mn-cs"/>
              </a:rPr>
              <a:t>Non</a:t>
            </a:r>
            <a:r>
              <a:rPr lang="en-US" sz="1100" b="0" i="0" kern="1200" baseline="0">
                <a:solidFill>
                  <a:schemeClr val="dk1"/>
                </a:solidFill>
                <a:effectLst/>
                <a:latin typeface="+mn-lt"/>
                <a:ea typeface="+mn-ea"/>
                <a:cs typeface="+mn-cs"/>
              </a:rPr>
              <a:t>, doit être entre guillemets comme ceci : </a:t>
            </a:r>
            <a:r>
              <a:rPr lang="en-US" sz="1100" b="1" i="0" kern="1200" baseline="0">
                <a:solidFill>
                  <a:schemeClr val="dk1"/>
                </a:solidFill>
                <a:effectLst/>
                <a:latin typeface="+mn-lt"/>
                <a:ea typeface="+mn-ea"/>
                <a:cs typeface="+mn-cs"/>
              </a:rPr>
              <a:t>=SI(C3="Pomme ";"Oui";"Non")</a:t>
            </a:r>
            <a:endParaRPr lang="en-US" sz="800" b="1">
              <a:effectLst/>
            </a:endParaRPr>
          </a:p>
        </xdr:txBody>
      </xdr:sp>
      <xdr:pic>
        <xdr:nvPicPr>
          <xdr:cNvPr id="93" name="Magnify glass" descr="Magnifying glass">
            <a:extLst>
              <a:ext uri="{FF2B5EF4-FFF2-40B4-BE49-F238E27FC236}">
                <a16:creationId xmlns:a16="http://schemas.microsoft.com/office/drawing/2014/main" id="{10AA8B71-3BEA-4E7D-B2D7-BB97E6D38754}"/>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flipH="1">
            <a:off x="6863991" y="11396132"/>
            <a:ext cx="253174" cy="244047"/>
          </a:xfrm>
          <a:prstGeom prst="rect">
            <a:avLst/>
          </a:prstGeom>
        </xdr:spPr>
      </xdr:pic>
    </xdr:grpSp>
    <xdr:clientData/>
  </xdr:twoCellAnchor>
  <xdr:twoCellAnchor editAs="absolute">
    <xdr:from>
      <xdr:col>1</xdr:col>
      <xdr:colOff>5476875</xdr:colOff>
      <xdr:row>41</xdr:row>
      <xdr:rowOff>123825</xdr:rowOff>
    </xdr:from>
    <xdr:to>
      <xdr:col>4</xdr:col>
      <xdr:colOff>600075</xdr:colOff>
      <xdr:row>46</xdr:row>
      <xdr:rowOff>125248</xdr:rowOff>
    </xdr:to>
    <xdr:grpSp>
      <xdr:nvGrpSpPr>
        <xdr:cNvPr id="94" name="EXPERT TIP" descr="EXPERT TIP">
          <a:extLst>
            <a:ext uri="{FF2B5EF4-FFF2-40B4-BE49-F238E27FC236}">
              <a16:creationId xmlns:a16="http://schemas.microsoft.com/office/drawing/2014/main" id="{4F3513E1-6B29-4E54-80FC-E2B36E732D7E}"/>
            </a:ext>
          </a:extLst>
        </xdr:cNvPr>
        <xdr:cNvGrpSpPr/>
      </xdr:nvGrpSpPr>
      <xdr:grpSpPr>
        <a:xfrm>
          <a:off x="6345555" y="8338185"/>
          <a:ext cx="3771900" cy="915823"/>
          <a:chOff x="8448675" y="2143125"/>
          <a:chExt cx="2812587" cy="948102"/>
        </a:xfrm>
      </xdr:grpSpPr>
      <xdr:pic>
        <xdr:nvPicPr>
          <xdr:cNvPr id="95" name="Graphic 2" descr="Owl">
            <a:extLst>
              <a:ext uri="{FF2B5EF4-FFF2-40B4-BE49-F238E27FC236}">
                <a16:creationId xmlns:a16="http://schemas.microsoft.com/office/drawing/2014/main" id="{E56A0D5E-928F-4241-B1CD-3C396C51649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8448675" y="2170284"/>
            <a:ext cx="444647" cy="444647"/>
          </a:xfrm>
          <a:prstGeom prst="rect">
            <a:avLst/>
          </a:prstGeom>
        </xdr:spPr>
      </xdr:pic>
      <xdr:sp macro="" textlink="">
        <xdr:nvSpPr>
          <xdr:cNvPr id="96" name="Step" descr="EXPERT TIP&#10;Named Ranges allow you to define terms or values in a single place, and then reuse them throughout a workbook. You can see all of the named ranges in this workbook by going to Formulas &gt; Name Manager.Click here to learn more.&#10;">
            <a:hlinkClick xmlns:r="http://schemas.openxmlformats.org/officeDocument/2006/relationships" r:id="rId6" tooltip="Click here to learn more about Named Ranges from the web."/>
            <a:extLst>
              <a:ext uri="{FF2B5EF4-FFF2-40B4-BE49-F238E27FC236}">
                <a16:creationId xmlns:a16="http://schemas.microsoft.com/office/drawing/2014/main" id="{CDFC5BF1-DCF8-4B3F-9426-0E409672138F}"/>
              </a:ext>
            </a:extLst>
          </xdr:cNvPr>
          <xdr:cNvSpPr txBox="1"/>
        </xdr:nvSpPr>
        <xdr:spPr>
          <a:xfrm>
            <a:off x="8782052" y="2143125"/>
            <a:ext cx="2479210"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ASTUCE</a:t>
            </a:r>
            <a:r>
              <a:rPr lang="en-US" sz="1200" b="1" kern="0" baseline="0">
                <a:solidFill>
                  <a:srgbClr val="ED7D31">
                    <a:lumMod val="60000"/>
                    <a:lumOff val="40000"/>
                  </a:srgbClr>
                </a:solidFill>
                <a:latin typeface="+mj-lt"/>
                <a:ea typeface="Segoe UI" pitchFamily="34" charset="0"/>
                <a:cs typeface="Segoe UI Light" panose="020B0502040204020203" pitchFamily="34" charset="0"/>
              </a:rPr>
              <a:t> D'EXPERT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b="1" i="1" u="sng" kern="0">
                <a:solidFill>
                  <a:schemeClr val="accent1"/>
                </a:solidFill>
                <a:ea typeface="Segoe UI" pitchFamily="34" charset="0"/>
                <a:cs typeface="Segoe UI Light" panose="020B0502040204020203" pitchFamily="34" charset="0"/>
              </a:rPr>
              <a:t>Définir</a:t>
            </a:r>
            <a:r>
              <a:rPr lang="en-US" sz="1100" b="1" i="1" u="sng" kern="0" baseline="0">
                <a:solidFill>
                  <a:schemeClr val="accent1"/>
                </a:solidFill>
                <a:ea typeface="Segoe UI" pitchFamily="34" charset="0"/>
                <a:cs typeface="Segoe UI Light" panose="020B0502040204020203" pitchFamily="34" charset="0"/>
              </a:rPr>
              <a:t> un nom</a:t>
            </a:r>
            <a:r>
              <a:rPr lang="en-US" sz="1100" b="0" i="0" u="none"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vous permet</a:t>
            </a:r>
            <a:r>
              <a:rPr lang="en-US" sz="1100" kern="0" baseline="0">
                <a:solidFill>
                  <a:schemeClr val="bg2">
                    <a:lumMod val="25000"/>
                  </a:schemeClr>
                </a:solidFill>
                <a:ea typeface="Segoe UI" pitchFamily="34" charset="0"/>
                <a:cs typeface="Segoe UI Light" panose="020B0502040204020203" pitchFamily="34" charset="0"/>
              </a:rPr>
              <a:t> </a:t>
            </a:r>
            <a:r>
              <a:rPr lang="en-US" sz="1100" kern="0">
                <a:solidFill>
                  <a:schemeClr val="bg2">
                    <a:lumMod val="25000"/>
                  </a:schemeClr>
                </a:solidFill>
                <a:ea typeface="Segoe UI" pitchFamily="34" charset="0"/>
                <a:cs typeface="Segoe UI Light" panose="020B0502040204020203" pitchFamily="34" charset="0"/>
              </a:rPr>
              <a:t>de définir des termes ou des valeurs à un seul endroit, puis de les réutiliser dans un classeur. Vous pouvez voir toutes les plages nommées dans ce classeur en accédant à </a:t>
            </a:r>
            <a:r>
              <a:rPr lang="en-US" sz="1100" b="1" kern="0">
                <a:solidFill>
                  <a:schemeClr val="bg2">
                    <a:lumMod val="25000"/>
                  </a:schemeClr>
                </a:solidFill>
                <a:ea typeface="Segoe UI" pitchFamily="34" charset="0"/>
                <a:cs typeface="Segoe UI Light" panose="020B0502040204020203" pitchFamily="34" charset="0"/>
              </a:rPr>
              <a:t>Formules &gt; Gestionnaire de noms.</a:t>
            </a:r>
            <a:r>
              <a:rPr lang="en-US" sz="1100" b="0" kern="0" baseline="0">
                <a:solidFill>
                  <a:schemeClr val="bg2">
                    <a:lumMod val="25000"/>
                  </a:schemeClr>
                </a:solidFill>
                <a:ea typeface="Segoe UI" pitchFamily="34" charset="0"/>
                <a:cs typeface="Segoe UI Light" panose="020B0502040204020203" pitchFamily="34" charset="0"/>
              </a:rPr>
              <a:t>Click here to learn more.</a:t>
            </a:r>
            <a:endParaRPr lang="en-US" sz="1100" b="0">
              <a:solidFill>
                <a:schemeClr val="bg2">
                  <a:lumMod val="25000"/>
                </a:schemeClr>
              </a:solidFill>
              <a:ea typeface="Segoe UI" pitchFamily="34" charset="0"/>
              <a:cs typeface="Segoe UI Light" panose="020B0502040204020203" pitchFamily="34" charset="0"/>
            </a:endParaRPr>
          </a:p>
        </xdr:txBody>
      </xdr:sp>
    </xdr:grpSp>
    <xdr:clientData/>
  </xdr:twoCellAnchor>
  <xdr:twoCellAnchor editAs="absolute">
    <xdr:from>
      <xdr:col>6</xdr:col>
      <xdr:colOff>57151</xdr:colOff>
      <xdr:row>31</xdr:row>
      <xdr:rowOff>128299</xdr:rowOff>
    </xdr:from>
    <xdr:to>
      <xdr:col>11</xdr:col>
      <xdr:colOff>485774</xdr:colOff>
      <xdr:row>40</xdr:row>
      <xdr:rowOff>77654</xdr:rowOff>
    </xdr:to>
    <xdr:grpSp>
      <xdr:nvGrpSpPr>
        <xdr:cNvPr id="97" name="GOOD TO KNOW" descr="GOOD TO KNOW&#10;&#10;">
          <a:extLst>
            <a:ext uri="{FF2B5EF4-FFF2-40B4-BE49-F238E27FC236}">
              <a16:creationId xmlns:a16="http://schemas.microsoft.com/office/drawing/2014/main" id="{B45D0037-257A-421E-9928-F95C71F032DA}"/>
            </a:ext>
          </a:extLst>
        </xdr:cNvPr>
        <xdr:cNvGrpSpPr/>
      </xdr:nvGrpSpPr>
      <xdr:grpSpPr>
        <a:xfrm>
          <a:off x="10793731" y="6452899"/>
          <a:ext cx="3476623" cy="1656235"/>
          <a:chOff x="6778625" y="15619705"/>
          <a:chExt cx="3174461" cy="1671345"/>
        </a:xfrm>
      </xdr:grpSpPr>
      <xdr:sp macro="" textlink="">
        <xdr:nvSpPr>
          <xdr:cNvPr id="98" name="Step" descr="GOOD TO KNOW&#10;When you create a formula, Excel will automatically place colored borders around any ranges referenced in the formula, and the corresponding ranges in the formula will be the same color. You can see this if you select cell F33 and press F2 to edit the formula.&#10;">
            <a:extLst>
              <a:ext uri="{FF2B5EF4-FFF2-40B4-BE49-F238E27FC236}">
                <a16:creationId xmlns:a16="http://schemas.microsoft.com/office/drawing/2014/main" id="{4E9138CF-FAE4-468F-879F-55F3178773BE}"/>
              </a:ext>
            </a:extLst>
          </xdr:cNvPr>
          <xdr:cNvSpPr txBox="1"/>
        </xdr:nvSpPr>
        <xdr:spPr>
          <a:xfrm>
            <a:off x="7042959" y="15665450"/>
            <a:ext cx="2910127"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Bon à savoir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Lorsque vous créez une formule, Excel place automatiquement des bordures colorées autour de toutes les plages référencées dans la formule, et les plages correspondantes dans la formule seront de la même couleur. Vous pouvez le voir si vous sélectionnez la cellule F33 et appuyez sur </a:t>
            </a:r>
            <a:r>
              <a:rPr lang="en-US" sz="1100" b="1" i="0" kern="1200" baseline="0">
                <a:solidFill>
                  <a:schemeClr val="dk1"/>
                </a:solidFill>
                <a:effectLst/>
                <a:latin typeface="+mn-lt"/>
                <a:ea typeface="+mn-ea"/>
                <a:cs typeface="+mn-cs"/>
              </a:rPr>
              <a:t>F2</a:t>
            </a:r>
            <a:r>
              <a:rPr lang="en-US" sz="1100" b="0" i="0" kern="1200" baseline="0">
                <a:solidFill>
                  <a:schemeClr val="dk1"/>
                </a:solidFill>
                <a:effectLst/>
                <a:latin typeface="+mn-lt"/>
                <a:ea typeface="+mn-ea"/>
                <a:cs typeface="+mn-cs"/>
              </a:rPr>
              <a:t> pour modifier la formule.</a:t>
            </a:r>
            <a:endParaRPr lang="en-US" sz="1100">
              <a:effectLst/>
              <a:latin typeface="+mn-lt"/>
            </a:endParaRPr>
          </a:p>
        </xdr:txBody>
      </xdr:sp>
      <xdr:pic>
        <xdr:nvPicPr>
          <xdr:cNvPr id="99" name="Graphic 147" descr="Glasses">
            <a:extLst>
              <a:ext uri="{FF2B5EF4-FFF2-40B4-BE49-F238E27FC236}">
                <a16:creationId xmlns:a16="http://schemas.microsoft.com/office/drawing/2014/main" id="{66483B39-8A7B-417E-B71A-6BEA395942B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778625" y="15619705"/>
            <a:ext cx="323347" cy="349115"/>
          </a:xfrm>
          <a:prstGeom prst="rect">
            <a:avLst/>
          </a:prstGeom>
        </xdr:spPr>
      </xdr:pic>
    </xdr:grpSp>
    <xdr:clientData/>
  </xdr:twoCellAnchor>
  <xdr:twoCellAnchor editAs="absolute">
    <xdr:from>
      <xdr:col>0</xdr:col>
      <xdr:colOff>590550</xdr:colOff>
      <xdr:row>19</xdr:row>
      <xdr:rowOff>76200</xdr:rowOff>
    </xdr:from>
    <xdr:to>
      <xdr:col>1</xdr:col>
      <xdr:colOff>2484107</xdr:colOff>
      <xdr:row>22</xdr:row>
      <xdr:rowOff>40387</xdr:rowOff>
    </xdr:to>
    <xdr:sp macro="" textlink="">
      <xdr:nvSpPr>
        <xdr:cNvPr id="100" name="btn_DeepDive" descr="Dive down for more detail">
          <a:hlinkClick xmlns:r="http://schemas.openxmlformats.org/officeDocument/2006/relationships" r:id="rId9"/>
          <a:extLst>
            <a:ext uri="{FF2B5EF4-FFF2-40B4-BE49-F238E27FC236}">
              <a16:creationId xmlns:a16="http://schemas.microsoft.com/office/drawing/2014/main" id="{D2FA0FF2-19D2-4834-A888-495EE8B29B48}"/>
            </a:ext>
          </a:extLst>
        </xdr:cNvPr>
        <xdr:cNvSpPr/>
      </xdr:nvSpPr>
      <xdr:spPr>
        <a:xfrm>
          <a:off x="590550" y="4267200"/>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Descendez pour plus de détails</a:t>
          </a:r>
        </a:p>
      </xdr:txBody>
    </xdr:sp>
    <xdr:clientData/>
  </xdr:twoCellAnchor>
  <xdr:twoCellAnchor editAs="absolute">
    <xdr:from>
      <xdr:col>0</xdr:col>
      <xdr:colOff>333375</xdr:colOff>
      <xdr:row>23</xdr:row>
      <xdr:rowOff>47624</xdr:rowOff>
    </xdr:from>
    <xdr:to>
      <xdr:col>1</xdr:col>
      <xdr:colOff>5219700</xdr:colOff>
      <xdr:row>52</xdr:row>
      <xdr:rowOff>182879</xdr:rowOff>
    </xdr:to>
    <xdr:grpSp>
      <xdr:nvGrpSpPr>
        <xdr:cNvPr id="31" name="Group 30">
          <a:extLst>
            <a:ext uri="{FF2B5EF4-FFF2-40B4-BE49-F238E27FC236}">
              <a16:creationId xmlns:a16="http://schemas.microsoft.com/office/drawing/2014/main" id="{D5949D2E-3383-4D0F-B2BE-8F45CB07F6DF}"/>
            </a:ext>
          </a:extLst>
        </xdr:cNvPr>
        <xdr:cNvGrpSpPr/>
      </xdr:nvGrpSpPr>
      <xdr:grpSpPr>
        <a:xfrm>
          <a:off x="333375" y="4886324"/>
          <a:ext cx="5755005" cy="5522595"/>
          <a:chOff x="333375" y="5000624"/>
          <a:chExt cx="5734050" cy="5772150"/>
        </a:xfrm>
      </xdr:grpSpPr>
      <xdr:sp macro="" textlink="">
        <xdr:nvSpPr>
          <xdr:cNvPr id="101" name="txt_TourBackground" descr="Background">
            <a:extLst>
              <a:ext uri="{FF2B5EF4-FFF2-40B4-BE49-F238E27FC236}">
                <a16:creationId xmlns:a16="http://schemas.microsoft.com/office/drawing/2014/main" id="{D30CE2FF-D296-4C22-A916-909B28036CE0}"/>
              </a:ext>
            </a:extLst>
          </xdr:cNvPr>
          <xdr:cNvSpPr/>
        </xdr:nvSpPr>
        <xdr:spPr>
          <a:xfrm>
            <a:off x="333375" y="5000624"/>
            <a:ext cx="5734050" cy="577215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02" name="txt_TourHeader" descr="IF statement with another function">
            <a:extLst>
              <a:ext uri="{FF2B5EF4-FFF2-40B4-BE49-F238E27FC236}">
                <a16:creationId xmlns:a16="http://schemas.microsoft.com/office/drawing/2014/main" id="{55BCAE42-E599-41F5-B838-9192A7014F94}"/>
              </a:ext>
            </a:extLst>
          </xdr:cNvPr>
          <xdr:cNvSpPr txBox="1"/>
        </xdr:nvSpPr>
        <xdr:spPr>
          <a:xfrm>
            <a:off x="546103" y="5096668"/>
            <a:ext cx="5251444" cy="4898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Instruction SI avec une autre fonction</a:t>
            </a:r>
          </a:p>
        </xdr:txBody>
      </xdr:sp>
      <xdr:cxnSp macro="">
        <xdr:nvCxnSpPr>
          <xdr:cNvPr id="103" name="txt_TourLine1" descr="Decorative line">
            <a:extLst>
              <a:ext uri="{FF2B5EF4-FFF2-40B4-BE49-F238E27FC236}">
                <a16:creationId xmlns:a16="http://schemas.microsoft.com/office/drawing/2014/main" id="{E5355D6B-8054-4E69-B15F-4A97B4403130}"/>
              </a:ext>
            </a:extLst>
          </xdr:cNvPr>
          <xdr:cNvCxnSpPr>
            <a:cxnSpLocks/>
          </xdr:cNvCxnSpPr>
        </xdr:nvCxnSpPr>
        <xdr:spPr>
          <a:xfrm>
            <a:off x="546103" y="568245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04" name="txt_TourLine2" descr="Decorative line">
            <a:extLst>
              <a:ext uri="{FF2B5EF4-FFF2-40B4-BE49-F238E27FC236}">
                <a16:creationId xmlns:a16="http://schemas.microsoft.com/office/drawing/2014/main" id="{8891E0FB-F07B-444F-B967-54078E830D13}"/>
              </a:ext>
            </a:extLst>
          </xdr:cNvPr>
          <xdr:cNvCxnSpPr>
            <a:cxnSpLocks/>
          </xdr:cNvCxnSpPr>
        </xdr:nvCxnSpPr>
        <xdr:spPr>
          <a:xfrm>
            <a:off x="546103" y="10073392"/>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05" name="txt_TourIntro" descr="IF statements can also force additional calculations to be performed if a certain condition is met. Here we're going to evaluate a cell to see if Sales Tax should be charged, and calculate it if the condition is true.&#10;&#10;">
            <a:extLst>
              <a:ext uri="{FF2B5EF4-FFF2-40B4-BE49-F238E27FC236}">
                <a16:creationId xmlns:a16="http://schemas.microsoft.com/office/drawing/2014/main" id="{ADFF8084-9F56-49BC-A834-D77F4DF98649}"/>
              </a:ext>
            </a:extLst>
          </xdr:cNvPr>
          <xdr:cNvSpPr txBox="1"/>
        </xdr:nvSpPr>
        <xdr:spPr>
          <a:xfrm>
            <a:off x="571663" y="5716151"/>
            <a:ext cx="5251444" cy="499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Les instructions SI peuvent également forcer l’exécution de calculs supplémentaires si une certaine condition est remplie. Ici, nous allons évaluer une cellule pour voir si la taxe de vente doit être facturée et la calculer si la condition est vraie.</a:t>
            </a:r>
          </a:p>
        </xdr:txBody>
      </xdr:sp>
      <xdr:grpSp>
        <xdr:nvGrpSpPr>
          <xdr:cNvPr id="106" name="grp_Step">
            <a:extLst>
              <a:ext uri="{FF2B5EF4-FFF2-40B4-BE49-F238E27FC236}">
                <a16:creationId xmlns:a16="http://schemas.microsoft.com/office/drawing/2014/main" id="{5CDE601E-EF9E-420E-80FC-F58C2BA9720A}"/>
              </a:ext>
            </a:extLst>
          </xdr:cNvPr>
          <xdr:cNvGrpSpPr/>
        </xdr:nvGrpSpPr>
        <xdr:grpSpPr>
          <a:xfrm>
            <a:off x="561975" y="6416981"/>
            <a:ext cx="5303492" cy="1106346"/>
            <a:chOff x="581211" y="7740956"/>
            <a:chExt cx="5269084" cy="1106346"/>
          </a:xfrm>
        </xdr:grpSpPr>
        <xdr:sp macro="" textlink="">
          <xdr:nvSpPr>
            <xdr:cNvPr id="107" name="txt_Step" descr="In cell F33, we've entered =IF(E33=&quot;Yes&quot;,F31*SalesTax,0), where we set up SalesTax as a Named Range with a value of 0.0825. Our formula says If cell E33 equals Yes, then multiply cell F31 times SalesTax, otherwise return a 0.&#10;&#10;Try changing Yes to No in cell E33 to see the calculation change.&#10;">
              <a:extLst>
                <a:ext uri="{FF2B5EF4-FFF2-40B4-BE49-F238E27FC236}">
                  <a16:creationId xmlns:a16="http://schemas.microsoft.com/office/drawing/2014/main" id="{318A84D0-F949-42C9-8946-3CA9B70E8414}"/>
                </a:ext>
              </a:extLst>
            </xdr:cNvPr>
            <xdr:cNvSpPr txBox="1"/>
          </xdr:nvSpPr>
          <xdr:spPr>
            <a:xfrm>
              <a:off x="1005912" y="7740956"/>
              <a:ext cx="4844383" cy="11063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Dans la cellule F33, nous avons saisi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=SI(E33="Oui",F31*20%,0)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où nous définissons la Taxe de vente en tant que plage nommée avec une valeur de 20%. Notre formule dit que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si</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E33 est égale à Oui</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multipliez la cellule F31 par la taxe de vente, sinon retournez un 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Essayez de changer le Oui en Non dans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E33</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pour voir le changement dans le calcul.</a:t>
              </a:r>
            </a:p>
          </xdr:txBody>
        </xdr:sp>
        <xdr:sp macro="" textlink="">
          <xdr:nvSpPr>
            <xdr:cNvPr id="108" name="shp_Step" descr="1">
              <a:extLst>
                <a:ext uri="{FF2B5EF4-FFF2-40B4-BE49-F238E27FC236}">
                  <a16:creationId xmlns:a16="http://schemas.microsoft.com/office/drawing/2014/main" id="{189261EA-9568-4614-85E1-C72A54F4B205}"/>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09" name="grp_Step">
            <a:extLst>
              <a:ext uri="{FF2B5EF4-FFF2-40B4-BE49-F238E27FC236}">
                <a16:creationId xmlns:a16="http://schemas.microsoft.com/office/drawing/2014/main" id="{BFF24217-919E-4D15-B472-AB89F019AF8E}"/>
              </a:ext>
            </a:extLst>
          </xdr:cNvPr>
          <xdr:cNvGrpSpPr/>
        </xdr:nvGrpSpPr>
        <xdr:grpSpPr>
          <a:xfrm>
            <a:off x="561975" y="7596522"/>
            <a:ext cx="5237218" cy="1049777"/>
            <a:chOff x="581211" y="7748922"/>
            <a:chExt cx="5203240" cy="1049777"/>
          </a:xfrm>
        </xdr:grpSpPr>
        <xdr:sp macro="" textlink="">
          <xdr:nvSpPr>
            <xdr:cNvPr id="110" name="txt_Step" descr="Next we've added an IF statement to calculate shipping if it's required. In cell F35 you'll see =IF(E35=&quot;Yes&quot;,SUM(D28:D29)*1.25,0). This says &quot;If cell E35 is Yes, then take the sum of the Quantity column in the table above, and multiply it by 1.25, otherwise return a 0&quot;.&#10;">
              <a:extLst>
                <a:ext uri="{FF2B5EF4-FFF2-40B4-BE49-F238E27FC236}">
                  <a16:creationId xmlns:a16="http://schemas.microsoft.com/office/drawing/2014/main" id="{AEA982A9-56DB-413C-8C06-090FF22D1BCD}"/>
                </a:ext>
              </a:extLst>
            </xdr:cNvPr>
            <xdr:cNvSpPr txBox="1"/>
          </xdr:nvSpPr>
          <xdr:spPr>
            <a:xfrm>
              <a:off x="1005912" y="7748922"/>
              <a:ext cx="4778539" cy="1049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Ensuite, nous avons ajouté une instruction SI pour calculer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les frais d’expédition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si nécessaire. Dans la cellule F35, vous verrez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=SI(E35="Oui";SOMME(D28:D29)*1,25;0)</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Cela dit « Si la cellule E35 est Oui, alors prenez la somme de la colonne Quantité dans le tableau ci-dessus, et multipliez-la par 1,25, sinon retournez un 0 ». </a:t>
              </a:r>
              <a:b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b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11" name="shp_Step" descr="2">
              <a:extLst>
                <a:ext uri="{FF2B5EF4-FFF2-40B4-BE49-F238E27FC236}">
                  <a16:creationId xmlns:a16="http://schemas.microsoft.com/office/drawing/2014/main" id="{BCCAD99D-66BF-4E4A-8BE8-EB9E7692B65E}"/>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nvGrpSpPr>
          <xdr:cNvPr id="112" name="grp_Step">
            <a:extLst>
              <a:ext uri="{FF2B5EF4-FFF2-40B4-BE49-F238E27FC236}">
                <a16:creationId xmlns:a16="http://schemas.microsoft.com/office/drawing/2014/main" id="{BF6B2B89-C936-492B-9E7C-BBD3854AF4D9}"/>
              </a:ext>
            </a:extLst>
          </xdr:cNvPr>
          <xdr:cNvGrpSpPr/>
        </xdr:nvGrpSpPr>
        <xdr:grpSpPr>
          <a:xfrm>
            <a:off x="561975" y="8572500"/>
            <a:ext cx="5229626" cy="1491451"/>
            <a:chOff x="581211" y="7810500"/>
            <a:chExt cx="5195697" cy="1491451"/>
          </a:xfrm>
        </xdr:grpSpPr>
        <xdr:sp macro="" textlink="">
          <xdr:nvSpPr>
            <xdr:cNvPr id="113" name="txt_Step" descr="Next, change the 1.25 in the formula in cell F35 to &quot;Shipping&quot;. As you start typing, Excel's auto-correct, should find it for you. When it does, press Tab to enter it. This is a Named Range, and we entered it from Formulas &gt; Define Name. Now, if you ever need to change your shipping cost, you only have to do it in one place, and you can use the Shipping name anywhere in the workbook.&#10;&#10;">
              <a:extLst>
                <a:ext uri="{FF2B5EF4-FFF2-40B4-BE49-F238E27FC236}">
                  <a16:creationId xmlns:a16="http://schemas.microsoft.com/office/drawing/2014/main" id="{A722657B-F5BE-4EA5-BAAE-C570DA0E3B71}"/>
                </a:ext>
              </a:extLst>
            </xdr:cNvPr>
            <xdr:cNvSpPr txBox="1"/>
          </xdr:nvSpPr>
          <xdr:spPr>
            <a:xfrm>
              <a:off x="998369" y="7852458"/>
              <a:ext cx="4778539" cy="14494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Ensuite, remplacez le 1,25 dans la formule de la cellule F35 par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Expédition ».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Lorsque vous commencez à taper, la correction automatique d’Excel devrait le trouver pour vous. Lorsque c’est le cas, appuyez sur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Tab</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pour y entrer. Il s’agit d’une plage nommée que nous avons saisie à partir de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Formules &gt; Définir le nom</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Désormais, si vous avez besoin de modifier vos frais d’expédition, vous n’avez qu’à le faire à un seul endroit et vous pouvez utiliser le nom d’expédition n’importe où dans le classeur.</a:t>
              </a:r>
            </a:p>
          </xdr:txBody>
        </xdr:sp>
        <xdr:sp macro="" textlink="">
          <xdr:nvSpPr>
            <xdr:cNvPr id="114" name="shp_Step" descr="3">
              <a:extLst>
                <a:ext uri="{FF2B5EF4-FFF2-40B4-BE49-F238E27FC236}">
                  <a16:creationId xmlns:a16="http://schemas.microsoft.com/office/drawing/2014/main" id="{9DDD420D-C72F-4430-9995-3824DE1CAC4D}"/>
                </a:ext>
              </a:extLst>
            </xdr:cNvPr>
            <xdr:cNvSpPr/>
          </xdr:nvSpPr>
          <xdr:spPr>
            <a:xfrm>
              <a:off x="581211"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grpSp>
    <xdr:clientData/>
  </xdr:twoCellAnchor>
  <xdr:twoCellAnchor editAs="absolute">
    <xdr:from>
      <xdr:col>0</xdr:col>
      <xdr:colOff>552450</xdr:colOff>
      <xdr:row>50</xdr:row>
      <xdr:rowOff>57150</xdr:rowOff>
    </xdr:from>
    <xdr:to>
      <xdr:col>1</xdr:col>
      <xdr:colOff>980459</xdr:colOff>
      <xdr:row>52</xdr:row>
      <xdr:rowOff>11599</xdr:rowOff>
    </xdr:to>
    <xdr:sp macro="" textlink="">
      <xdr:nvSpPr>
        <xdr:cNvPr id="115"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F139BCB5-BA52-4BA9-B27E-80EDF1CA9815}"/>
            </a:ext>
          </a:extLst>
        </xdr:cNvPr>
        <xdr:cNvSpPr/>
      </xdr:nvSpPr>
      <xdr:spPr>
        <a:xfrm flipH="1">
          <a:off x="552450"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Précédent</a:t>
          </a:r>
        </a:p>
      </xdr:txBody>
    </xdr:sp>
    <xdr:clientData fPrintsWithSheet="0"/>
  </xdr:twoCellAnchor>
  <xdr:twoCellAnchor editAs="absolute">
    <xdr:from>
      <xdr:col>1</xdr:col>
      <xdr:colOff>3684072</xdr:colOff>
      <xdr:row>50</xdr:row>
      <xdr:rowOff>57150</xdr:rowOff>
    </xdr:from>
    <xdr:to>
      <xdr:col>1</xdr:col>
      <xdr:colOff>4959806</xdr:colOff>
      <xdr:row>52</xdr:row>
      <xdr:rowOff>11599</xdr:rowOff>
    </xdr:to>
    <xdr:sp macro="" textlink="">
      <xdr:nvSpPr>
        <xdr:cNvPr id="116"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BBF61831-9570-4211-818C-38318F38D015}"/>
            </a:ext>
          </a:extLst>
        </xdr:cNvPr>
        <xdr:cNvSpPr/>
      </xdr:nvSpPr>
      <xdr:spPr>
        <a:xfrm>
          <a:off x="4531797" y="10258425"/>
          <a:ext cx="1275734"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Suivant</a:t>
          </a:r>
        </a:p>
      </xdr:txBody>
    </xdr:sp>
    <xdr:clientData fPrintsWithSheet="0"/>
  </xdr:twoCellAnchor>
  <xdr:twoCellAnchor editAs="absolute">
    <xdr:from>
      <xdr:col>0</xdr:col>
      <xdr:colOff>352425</xdr:colOff>
      <xdr:row>53</xdr:row>
      <xdr:rowOff>104775</xdr:rowOff>
    </xdr:from>
    <xdr:to>
      <xdr:col>1</xdr:col>
      <xdr:colOff>5237988</xdr:colOff>
      <xdr:row>66</xdr:row>
      <xdr:rowOff>19050</xdr:rowOff>
    </xdr:to>
    <xdr:grpSp>
      <xdr:nvGrpSpPr>
        <xdr:cNvPr id="117" name="Group 116">
          <a:extLst>
            <a:ext uri="{FF2B5EF4-FFF2-40B4-BE49-F238E27FC236}">
              <a16:creationId xmlns:a16="http://schemas.microsoft.com/office/drawing/2014/main" id="{A4810020-C4C7-483B-BB90-6111CE7B8559}"/>
            </a:ext>
          </a:extLst>
        </xdr:cNvPr>
        <xdr:cNvGrpSpPr/>
      </xdr:nvGrpSpPr>
      <xdr:grpSpPr>
        <a:xfrm>
          <a:off x="352425" y="10513695"/>
          <a:ext cx="5754243" cy="2291715"/>
          <a:chOff x="352425" y="10715625"/>
          <a:chExt cx="5733288" cy="2390775"/>
        </a:xfrm>
      </xdr:grpSpPr>
      <xdr:sp macro="" textlink="">
        <xdr:nvSpPr>
          <xdr:cNvPr id="118" name="Rectangle 117">
            <a:extLst>
              <a:ext uri="{FF2B5EF4-FFF2-40B4-BE49-F238E27FC236}">
                <a16:creationId xmlns:a16="http://schemas.microsoft.com/office/drawing/2014/main" id="{41DB9D98-1135-4D04-A479-162FD39F4940}"/>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19" name="Step" descr="More information on the web&#10;">
            <a:extLst>
              <a:ext uri="{FF2B5EF4-FFF2-40B4-BE49-F238E27FC236}">
                <a16:creationId xmlns:a16="http://schemas.microsoft.com/office/drawing/2014/main" id="{CBBC5FE0-1D35-4FA7-A2AF-7339726448D7}"/>
              </a:ext>
            </a:extLst>
          </xdr:cNvPr>
          <xdr:cNvSpPr txBox="1"/>
        </xdr:nvSpPr>
        <xdr:spPr>
          <a:xfrm>
            <a:off x="5444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20" name="Straight Connector 119" descr="Decorative line">
            <a:extLst>
              <a:ext uri="{FF2B5EF4-FFF2-40B4-BE49-F238E27FC236}">
                <a16:creationId xmlns:a16="http://schemas.microsoft.com/office/drawing/2014/main" id="{C4B15DAA-8EC7-428E-B272-5E6947DC8294}"/>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Straight Connector 120" descr="Decorative line">
            <a:extLst>
              <a:ext uri="{FF2B5EF4-FFF2-40B4-BE49-F238E27FC236}">
                <a16:creationId xmlns:a16="http://schemas.microsoft.com/office/drawing/2014/main" id="{6592F069-6C25-4390-8BAB-B70BB811B85E}"/>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2" name="Straight Connector 71" descr="Decorative line">
            <a:extLst>
              <a:ext uri="{FF2B5EF4-FFF2-40B4-BE49-F238E27FC236}">
                <a16:creationId xmlns:a16="http://schemas.microsoft.com/office/drawing/2014/main" id="{C5EC57CE-9B46-46D7-8D21-0D9415D893AF}"/>
              </a:ext>
            </a:extLst>
          </xdr:cNvPr>
          <xdr:cNvCxnSpPr>
            <a:cxnSpLocks/>
          </xdr:cNvCxnSpPr>
        </xdr:nvCxnSpPr>
        <xdr:spPr>
          <a:xfrm>
            <a:off x="54440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73" name="Straight Connector 72" descr="Decorative line">
            <a:extLst>
              <a:ext uri="{FF2B5EF4-FFF2-40B4-BE49-F238E27FC236}">
                <a16:creationId xmlns:a16="http://schemas.microsoft.com/office/drawing/2014/main" id="{7C9853C8-AABB-40DC-8E21-1B84AEE76B0B}"/>
              </a:ext>
            </a:extLst>
          </xdr:cNvPr>
          <xdr:cNvCxnSpPr>
            <a:cxnSpLocks/>
          </xdr:cNvCxnSpPr>
        </xdr:nvCxnSpPr>
        <xdr:spPr>
          <a:xfrm>
            <a:off x="54440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562406</xdr:colOff>
      <xdr:row>56</xdr:row>
      <xdr:rowOff>73744</xdr:rowOff>
    </xdr:from>
    <xdr:to>
      <xdr:col>1</xdr:col>
      <xdr:colOff>2581275</xdr:colOff>
      <xdr:row>58</xdr:row>
      <xdr:rowOff>51823</xdr:rowOff>
    </xdr:to>
    <xdr:grpSp>
      <xdr:nvGrpSpPr>
        <xdr:cNvPr id="30" name="Group 29">
          <a:extLst>
            <a:ext uri="{FF2B5EF4-FFF2-40B4-BE49-F238E27FC236}">
              <a16:creationId xmlns:a16="http://schemas.microsoft.com/office/drawing/2014/main" id="{734055A1-8444-407E-B760-0BF685C60AE8}"/>
            </a:ext>
          </a:extLst>
        </xdr:cNvPr>
        <xdr:cNvGrpSpPr/>
      </xdr:nvGrpSpPr>
      <xdr:grpSpPr>
        <a:xfrm>
          <a:off x="562406" y="11031304"/>
          <a:ext cx="2887549" cy="343839"/>
          <a:chOff x="562406" y="11418019"/>
          <a:chExt cx="2866594" cy="359079"/>
        </a:xfrm>
      </xdr:grpSpPr>
      <xdr:sp macro="" textlink="">
        <xdr:nvSpPr>
          <xdr:cNvPr id="122" name="Step" descr="All about the IF function, Hyperlinked to web&#10;&#10;">
            <a:hlinkClick xmlns:r="http://schemas.openxmlformats.org/officeDocument/2006/relationships" r:id="rId11" tooltip="Select to learn all about the IF function on the web"/>
            <a:extLst>
              <a:ext uri="{FF2B5EF4-FFF2-40B4-BE49-F238E27FC236}">
                <a16:creationId xmlns:a16="http://schemas.microsoft.com/office/drawing/2014/main" id="{C0A7CC9F-DB96-4F0E-B2C2-8BD914BE74EC}"/>
              </a:ext>
            </a:extLst>
          </xdr:cNvPr>
          <xdr:cNvSpPr txBox="1"/>
        </xdr:nvSpPr>
        <xdr:spPr>
          <a:xfrm>
            <a:off x="1027591" y="11492379"/>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3" name="Graphic 22" descr="Arrow">
            <a:hlinkClick xmlns:r="http://schemas.openxmlformats.org/officeDocument/2006/relationships" r:id="rId11" tooltip="Select to learn more from the web"/>
            <a:extLst>
              <a:ext uri="{FF2B5EF4-FFF2-40B4-BE49-F238E27FC236}">
                <a16:creationId xmlns:a16="http://schemas.microsoft.com/office/drawing/2014/main" id="{F03E29E8-34F3-4B70-A14F-57CAD62E007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418019"/>
            <a:ext cx="492262" cy="359079"/>
          </a:xfrm>
          <a:prstGeom prst="rect">
            <a:avLst/>
          </a:prstGeom>
        </xdr:spPr>
      </xdr:pic>
    </xdr:grpSp>
    <xdr:clientData/>
  </xdr:twoCellAnchor>
  <xdr:twoCellAnchor editAs="absolute">
    <xdr:from>
      <xdr:col>0</xdr:col>
      <xdr:colOff>562406</xdr:colOff>
      <xdr:row>58</xdr:row>
      <xdr:rowOff>67810</xdr:rowOff>
    </xdr:from>
    <xdr:to>
      <xdr:col>1</xdr:col>
      <xdr:colOff>2609850</xdr:colOff>
      <xdr:row>60</xdr:row>
      <xdr:rowOff>51199</xdr:rowOff>
    </xdr:to>
    <xdr:grpSp>
      <xdr:nvGrpSpPr>
        <xdr:cNvPr id="29" name="Group 28">
          <a:extLst>
            <a:ext uri="{FF2B5EF4-FFF2-40B4-BE49-F238E27FC236}">
              <a16:creationId xmlns:a16="http://schemas.microsoft.com/office/drawing/2014/main" id="{B13CA61E-C0BF-4685-82BB-1ADFEB7A3BE0}"/>
            </a:ext>
          </a:extLst>
        </xdr:cNvPr>
        <xdr:cNvGrpSpPr/>
      </xdr:nvGrpSpPr>
      <xdr:grpSpPr>
        <a:xfrm>
          <a:off x="562406" y="11391130"/>
          <a:ext cx="2916124" cy="349149"/>
          <a:chOff x="562406" y="11793085"/>
          <a:chExt cx="2895169" cy="364389"/>
        </a:xfrm>
      </xdr:grpSpPr>
      <xdr:sp macro="" textlink="">
        <xdr:nvSpPr>
          <xdr:cNvPr id="124" name="Step" descr="All about the IFS function, hyperlinked to web&#10;">
            <a:hlinkClick xmlns:r="http://schemas.openxmlformats.org/officeDocument/2006/relationships" r:id="rId14" tooltip="Select to learn all about the IFS function on the web"/>
            <a:extLst>
              <a:ext uri="{FF2B5EF4-FFF2-40B4-BE49-F238E27FC236}">
                <a16:creationId xmlns:a16="http://schemas.microsoft.com/office/drawing/2014/main" id="{AD0BC53A-C4C7-465E-A99E-D4C6A4A4165C}"/>
              </a:ext>
            </a:extLst>
          </xdr:cNvPr>
          <xdr:cNvSpPr txBox="1"/>
        </xdr:nvSpPr>
        <xdr:spPr>
          <a:xfrm>
            <a:off x="1027591" y="118702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25" name="Graphic 22" descr="Arrow">
            <a:hlinkClick xmlns:r="http://schemas.openxmlformats.org/officeDocument/2006/relationships" r:id="rId14" tooltip="Select to learn more from the web"/>
            <a:extLst>
              <a:ext uri="{FF2B5EF4-FFF2-40B4-BE49-F238E27FC236}">
                <a16:creationId xmlns:a16="http://schemas.microsoft.com/office/drawing/2014/main" id="{7BD81F44-D831-47C7-9E63-4854293FE90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1793085"/>
            <a:ext cx="492262" cy="364389"/>
          </a:xfrm>
          <a:prstGeom prst="rect">
            <a:avLst/>
          </a:prstGeom>
        </xdr:spPr>
      </xdr:pic>
    </xdr:grpSp>
    <xdr:clientData/>
  </xdr:twoCellAnchor>
  <xdr:twoCellAnchor editAs="absolute">
    <xdr:from>
      <xdr:col>0</xdr:col>
      <xdr:colOff>562406</xdr:colOff>
      <xdr:row>62</xdr:row>
      <xdr:rowOff>98728</xdr:rowOff>
    </xdr:from>
    <xdr:to>
      <xdr:col>1</xdr:col>
      <xdr:colOff>2231317</xdr:colOff>
      <xdr:row>64</xdr:row>
      <xdr:rowOff>82117</xdr:rowOff>
    </xdr:to>
    <xdr:grpSp>
      <xdr:nvGrpSpPr>
        <xdr:cNvPr id="20" name="Group 19">
          <a:extLst>
            <a:ext uri="{FF2B5EF4-FFF2-40B4-BE49-F238E27FC236}">
              <a16:creationId xmlns:a16="http://schemas.microsoft.com/office/drawing/2014/main" id="{0552D274-B7DD-441F-82AB-F9C18F3F1907}"/>
            </a:ext>
          </a:extLst>
        </xdr:cNvPr>
        <xdr:cNvGrpSpPr/>
      </xdr:nvGrpSpPr>
      <xdr:grpSpPr>
        <a:xfrm>
          <a:off x="562406" y="12153568"/>
          <a:ext cx="2537591" cy="349149"/>
          <a:chOff x="562406" y="12586003"/>
          <a:chExt cx="2516636" cy="364389"/>
        </a:xfrm>
      </xdr:grpSpPr>
      <xdr:sp macro="" textlink="">
        <xdr:nvSpPr>
          <xdr:cNvPr id="126" name="Step" descr="Free Excel training online, hyperlinked to web&#10;">
            <a:hlinkClick xmlns:r="http://schemas.openxmlformats.org/officeDocument/2006/relationships" r:id="rId15" tooltip="Select to learn Free Excel training online from the web"/>
            <a:extLst>
              <a:ext uri="{FF2B5EF4-FFF2-40B4-BE49-F238E27FC236}">
                <a16:creationId xmlns:a16="http://schemas.microsoft.com/office/drawing/2014/main" id="{7825C514-8FA2-4A6D-AF39-649B9CAF9255}"/>
              </a:ext>
            </a:extLst>
          </xdr:cNvPr>
          <xdr:cNvSpPr txBox="1"/>
        </xdr:nvSpPr>
        <xdr:spPr>
          <a:xfrm>
            <a:off x="1040199" y="12637107"/>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27" name="Graphic 22" descr="Arrow">
            <a:hlinkClick xmlns:r="http://schemas.openxmlformats.org/officeDocument/2006/relationships" r:id="rId15" tooltip="Select to learn more from the web"/>
            <a:extLst>
              <a:ext uri="{FF2B5EF4-FFF2-40B4-BE49-F238E27FC236}">
                <a16:creationId xmlns:a16="http://schemas.microsoft.com/office/drawing/2014/main" id="{7204CB75-A78D-4C34-9CDE-0C456FE297C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586003"/>
            <a:ext cx="492262" cy="364389"/>
          </a:xfrm>
          <a:prstGeom prst="rect">
            <a:avLst/>
          </a:prstGeom>
        </xdr:spPr>
      </xdr:pic>
    </xdr:grpSp>
    <xdr:clientData/>
  </xdr:twoCellAnchor>
  <xdr:twoCellAnchor editAs="absolute">
    <xdr:from>
      <xdr:col>0</xdr:col>
      <xdr:colOff>562406</xdr:colOff>
      <xdr:row>60</xdr:row>
      <xdr:rowOff>67186</xdr:rowOff>
    </xdr:from>
    <xdr:to>
      <xdr:col>1</xdr:col>
      <xdr:colOff>2609850</xdr:colOff>
      <xdr:row>62</xdr:row>
      <xdr:rowOff>50575</xdr:rowOff>
    </xdr:to>
    <xdr:grpSp>
      <xdr:nvGrpSpPr>
        <xdr:cNvPr id="25" name="Group 24">
          <a:extLst>
            <a:ext uri="{FF2B5EF4-FFF2-40B4-BE49-F238E27FC236}">
              <a16:creationId xmlns:a16="http://schemas.microsoft.com/office/drawing/2014/main" id="{F1DB9CDB-5B09-4600-8014-FE097D5CAA92}"/>
            </a:ext>
          </a:extLst>
        </xdr:cNvPr>
        <xdr:cNvGrpSpPr/>
      </xdr:nvGrpSpPr>
      <xdr:grpSpPr>
        <a:xfrm>
          <a:off x="562406" y="11756266"/>
          <a:ext cx="2916124" cy="349149"/>
          <a:chOff x="562406" y="12173461"/>
          <a:chExt cx="2895169" cy="364389"/>
        </a:xfrm>
      </xdr:grpSpPr>
      <xdr:sp macro="" textlink="">
        <xdr:nvSpPr>
          <xdr:cNvPr id="128" name="Step" descr="Advanced IF statements, hyperlinked to web&#10;">
            <a:hlinkClick xmlns:r="http://schemas.openxmlformats.org/officeDocument/2006/relationships" r:id="rId16" tooltip="Select to learn all about advanced IF statements on the web"/>
            <a:extLst>
              <a:ext uri="{FF2B5EF4-FFF2-40B4-BE49-F238E27FC236}">
                <a16:creationId xmlns:a16="http://schemas.microsoft.com/office/drawing/2014/main" id="{A9F717A5-C172-477E-B496-085AE6F25AC6}"/>
              </a:ext>
            </a:extLst>
          </xdr:cNvPr>
          <xdr:cNvSpPr txBox="1"/>
        </xdr:nvSpPr>
        <xdr:spPr>
          <a:xfrm>
            <a:off x="1027591" y="122417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Advanced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statements</a:t>
            </a:r>
          </a:p>
        </xdr:txBody>
      </xdr:sp>
      <xdr:pic>
        <xdr:nvPicPr>
          <xdr:cNvPr id="129" name="Graphic 22" descr="Arrow">
            <a:hlinkClick xmlns:r="http://schemas.openxmlformats.org/officeDocument/2006/relationships" r:id="rId16" tooltip="Select to learn more from the web"/>
            <a:extLst>
              <a:ext uri="{FF2B5EF4-FFF2-40B4-BE49-F238E27FC236}">
                <a16:creationId xmlns:a16="http://schemas.microsoft.com/office/drawing/2014/main" id="{78075E02-0367-42F4-95B3-C5CC08749AF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562406" y="12173461"/>
            <a:ext cx="492262" cy="364389"/>
          </a:xfrm>
          <a:prstGeom prst="rect">
            <a:avLst/>
          </a:prstGeom>
        </xdr:spPr>
      </xdr:pic>
    </xdr:grpSp>
    <xdr:clientData/>
  </xdr:twoCellAnchor>
  <xdr:twoCellAnchor editAs="oneCell">
    <xdr:from>
      <xdr:col>2</xdr:col>
      <xdr:colOff>524004</xdr:colOff>
      <xdr:row>48</xdr:row>
      <xdr:rowOff>19050</xdr:rowOff>
    </xdr:from>
    <xdr:to>
      <xdr:col>4</xdr:col>
      <xdr:colOff>304311</xdr:colOff>
      <xdr:row>59</xdr:row>
      <xdr:rowOff>133074</xdr:rowOff>
    </xdr:to>
    <xdr:pic>
      <xdr:nvPicPr>
        <xdr:cNvPr id="2" name="Picture 1">
          <a:extLst>
            <a:ext uri="{FF2B5EF4-FFF2-40B4-BE49-F238E27FC236}">
              <a16:creationId xmlns:a16="http://schemas.microsoft.com/office/drawing/2014/main" id="{BC697E68-A9C2-4527-8965-5C48235F5E21}"/>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xdr:blipFill>
      <xdr:spPr>
        <a:xfrm>
          <a:off x="7077204" y="9513570"/>
          <a:ext cx="2744487" cy="212570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241935</xdr:colOff>
      <xdr:row>0</xdr:row>
      <xdr:rowOff>377190</xdr:rowOff>
    </xdr:from>
    <xdr:to>
      <xdr:col>1</xdr:col>
      <xdr:colOff>5128260</xdr:colOff>
      <xdr:row>31</xdr:row>
      <xdr:rowOff>115253</xdr:rowOff>
    </xdr:to>
    <xdr:sp macro="" textlink="">
      <xdr:nvSpPr>
        <xdr:cNvPr id="81" name="txt_TourBackground" descr="Background">
          <a:extLst>
            <a:ext uri="{FF2B5EF4-FFF2-40B4-BE49-F238E27FC236}">
              <a16:creationId xmlns:a16="http://schemas.microsoft.com/office/drawing/2014/main" id="{CCCCB7BF-CE8C-47D9-ADC2-CAB1C8F28444}"/>
            </a:ext>
          </a:extLst>
        </xdr:cNvPr>
        <xdr:cNvSpPr/>
      </xdr:nvSpPr>
      <xdr:spPr>
        <a:xfrm>
          <a:off x="241935" y="377190"/>
          <a:ext cx="5755005" cy="6215063"/>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574678</xdr:colOff>
      <xdr:row>0</xdr:row>
      <xdr:rowOff>457199</xdr:rowOff>
    </xdr:from>
    <xdr:to>
      <xdr:col>1</xdr:col>
      <xdr:colOff>4978397</xdr:colOff>
      <xdr:row>1</xdr:row>
      <xdr:rowOff>181041</xdr:rowOff>
    </xdr:to>
    <xdr:sp macro="" textlink="">
      <xdr:nvSpPr>
        <xdr:cNvPr id="82" name="txt_TourHeader" descr="VLOOKUP">
          <a:extLst>
            <a:ext uri="{FF2B5EF4-FFF2-40B4-BE49-F238E27FC236}">
              <a16:creationId xmlns:a16="http://schemas.microsoft.com/office/drawing/2014/main" id="{3EBEB25B-D27C-4E9F-8C1A-4065BEB3CAE6}"/>
            </a:ext>
          </a:extLst>
        </xdr:cNvPr>
        <xdr:cNvSpPr txBox="1"/>
      </xdr:nvSpPr>
      <xdr:spPr>
        <a:xfrm>
          <a:off x="574678" y="457199"/>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RECHERCHEV</a:t>
          </a:r>
        </a:p>
      </xdr:txBody>
    </xdr:sp>
    <xdr:clientData/>
  </xdr:twoCellAnchor>
  <xdr:twoCellAnchor>
    <xdr:from>
      <xdr:col>0</xdr:col>
      <xdr:colOff>553416</xdr:colOff>
      <xdr:row>1</xdr:row>
      <xdr:rowOff>175261</xdr:rowOff>
    </xdr:from>
    <xdr:to>
      <xdr:col>1</xdr:col>
      <xdr:colOff>4953939</xdr:colOff>
      <xdr:row>1</xdr:row>
      <xdr:rowOff>175261</xdr:rowOff>
    </xdr:to>
    <xdr:cxnSp macro="">
      <xdr:nvCxnSpPr>
        <xdr:cNvPr id="83" name="txt_TourLine1" descr="Decorative line">
          <a:extLst>
            <a:ext uri="{FF2B5EF4-FFF2-40B4-BE49-F238E27FC236}">
              <a16:creationId xmlns:a16="http://schemas.microsoft.com/office/drawing/2014/main" id="{AD07593A-5131-4BF8-AF2C-A67F78121C50}"/>
            </a:ext>
          </a:extLst>
        </xdr:cNvPr>
        <xdr:cNvCxnSpPr>
          <a:cxnSpLocks/>
        </xdr:cNvCxnSpPr>
      </xdr:nvCxnSpPr>
      <xdr:spPr>
        <a:xfrm>
          <a:off x="553416" y="937261"/>
          <a:ext cx="526920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576276</xdr:colOff>
      <xdr:row>27</xdr:row>
      <xdr:rowOff>88769</xdr:rowOff>
    </xdr:from>
    <xdr:to>
      <xdr:col>1</xdr:col>
      <xdr:colOff>4976799</xdr:colOff>
      <xdr:row>27</xdr:row>
      <xdr:rowOff>88769</xdr:rowOff>
    </xdr:to>
    <xdr:cxnSp macro="">
      <xdr:nvCxnSpPr>
        <xdr:cNvPr id="84" name="txt_TourLine2" descr="Decorative line">
          <a:extLst>
            <a:ext uri="{FF2B5EF4-FFF2-40B4-BE49-F238E27FC236}">
              <a16:creationId xmlns:a16="http://schemas.microsoft.com/office/drawing/2014/main" id="{9A557736-21EE-450F-A993-CC32130FE9FB}"/>
            </a:ext>
          </a:extLst>
        </xdr:cNvPr>
        <xdr:cNvCxnSpPr>
          <a:cxnSpLocks/>
        </xdr:cNvCxnSpPr>
      </xdr:nvCxnSpPr>
      <xdr:spPr>
        <a:xfrm>
          <a:off x="576276" y="5803769"/>
          <a:ext cx="526920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571663</xdr:colOff>
      <xdr:row>1</xdr:row>
      <xdr:rowOff>170576</xdr:rowOff>
    </xdr:from>
    <xdr:to>
      <xdr:col>1</xdr:col>
      <xdr:colOff>4975382</xdr:colOff>
      <xdr:row>4</xdr:row>
      <xdr:rowOff>84918</xdr:rowOff>
    </xdr:to>
    <xdr:sp macro="" textlink="">
      <xdr:nvSpPr>
        <xdr:cNvPr id="85" name="txt_TourIntro" descr="VLOOKUP is one of the most widely used functions in Excel (and one of our favorites too!). VLOOKUP lets you look up a value in a column on the left, then returns information in another column to the right if it finds a match. VLOOKUP says:&#10;&#10;">
          <a:extLst>
            <a:ext uri="{FF2B5EF4-FFF2-40B4-BE49-F238E27FC236}">
              <a16:creationId xmlns:a16="http://schemas.microsoft.com/office/drawing/2014/main" id="{F9326461-020C-4B3F-9364-21D592985D33}"/>
            </a:ext>
          </a:extLst>
        </xdr:cNvPr>
        <xdr:cNvSpPr txBox="1"/>
      </xdr:nvSpPr>
      <xdr:spPr>
        <a:xfrm>
          <a:off x="571663" y="932576"/>
          <a:ext cx="5272399"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RECHERCHEV</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est l’une des fonctions les plus utilisées dans Excel (et l’une de nos préférées aussi !). RECHERCHEV vous permet de rechercher une valeur dans une colonne de gauche, puis de renvoyer des informations dans une autre colonne de droite s’il trouve une correspondance. RECHERCHEV dit :</a:t>
          </a:r>
        </a:p>
      </xdr:txBody>
    </xdr:sp>
    <xdr:clientData/>
  </xdr:twoCellAnchor>
  <xdr:twoCellAnchor>
    <xdr:from>
      <xdr:col>0</xdr:col>
      <xdr:colOff>561975</xdr:colOff>
      <xdr:row>19</xdr:row>
      <xdr:rowOff>98083</xdr:rowOff>
    </xdr:from>
    <xdr:to>
      <xdr:col>1</xdr:col>
      <xdr:colOff>4943876</xdr:colOff>
      <xdr:row>22</xdr:row>
      <xdr:rowOff>122790</xdr:rowOff>
    </xdr:to>
    <xdr:grpSp>
      <xdr:nvGrpSpPr>
        <xdr:cNvPr id="3" name="Group 2">
          <a:extLst>
            <a:ext uri="{FF2B5EF4-FFF2-40B4-BE49-F238E27FC236}">
              <a16:creationId xmlns:a16="http://schemas.microsoft.com/office/drawing/2014/main" id="{A668747A-127E-4399-9A99-C2F143BEE89C}"/>
            </a:ext>
          </a:extLst>
        </xdr:cNvPr>
        <xdr:cNvGrpSpPr/>
      </xdr:nvGrpSpPr>
      <xdr:grpSpPr>
        <a:xfrm>
          <a:off x="561975" y="4289083"/>
          <a:ext cx="5250581" cy="596207"/>
          <a:chOff x="523875" y="4357663"/>
          <a:chExt cx="5220101" cy="596207"/>
        </a:xfrm>
      </xdr:grpSpPr>
      <xdr:sp macro="" textlink="">
        <xdr:nvSpPr>
          <xdr:cNvPr id="87" name="txt_Step" descr="In cell D22, enter =VLOOKUP(C22,C17:D20,2,FALSE). The correct answer for Apples is 50. VLOOKUP looked for Apples, found it, then went over one column to the right, and returned the amount.&#10;&#10;">
            <a:extLst>
              <a:ext uri="{FF2B5EF4-FFF2-40B4-BE49-F238E27FC236}">
                <a16:creationId xmlns:a16="http://schemas.microsoft.com/office/drawing/2014/main" id="{86ABB85B-8210-41EF-B43E-824CD9F5377E}"/>
              </a:ext>
            </a:extLst>
          </xdr:cNvPr>
          <xdr:cNvSpPr txBox="1"/>
        </xdr:nvSpPr>
        <xdr:spPr>
          <a:xfrm>
            <a:off x="981857" y="43996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Dans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D22</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entrez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=RECHERCHEV(C22;C17:D20;2;FAUX)</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La bonne réponse pour les pommes est 50. RECHERCHEV a cherché des pommes, les a trouvées, puis a parcouru une colonne à droite et a renvoyé le montant. </a:t>
            </a:r>
            <a:b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b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88" name="shp_Step" descr="1">
            <a:extLst>
              <a:ext uri="{FF2B5EF4-FFF2-40B4-BE49-F238E27FC236}">
                <a16:creationId xmlns:a16="http://schemas.microsoft.com/office/drawing/2014/main" id="{8141B3F4-E0DE-4A23-A755-A408DA852693}"/>
              </a:ext>
            </a:extLst>
          </xdr:cNvPr>
          <xdr:cNvSpPr/>
        </xdr:nvSpPr>
        <xdr:spPr>
          <a:xfrm>
            <a:off x="561975" y="43576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531495</xdr:colOff>
      <xdr:row>23</xdr:row>
      <xdr:rowOff>103798</xdr:rowOff>
    </xdr:from>
    <xdr:to>
      <xdr:col>1</xdr:col>
      <xdr:colOff>4913396</xdr:colOff>
      <xdr:row>26</xdr:row>
      <xdr:rowOff>128505</xdr:rowOff>
    </xdr:to>
    <xdr:grpSp>
      <xdr:nvGrpSpPr>
        <xdr:cNvPr id="2" name="Group 1">
          <a:extLst>
            <a:ext uri="{FF2B5EF4-FFF2-40B4-BE49-F238E27FC236}">
              <a16:creationId xmlns:a16="http://schemas.microsoft.com/office/drawing/2014/main" id="{7248ACEA-EF5C-407C-9476-B09DAE8F48D8}"/>
            </a:ext>
          </a:extLst>
        </xdr:cNvPr>
        <xdr:cNvGrpSpPr/>
      </xdr:nvGrpSpPr>
      <xdr:grpSpPr>
        <a:xfrm>
          <a:off x="531495" y="5056798"/>
          <a:ext cx="5250581" cy="596207"/>
          <a:chOff x="523875" y="5072038"/>
          <a:chExt cx="5220101" cy="596207"/>
        </a:xfrm>
      </xdr:grpSpPr>
      <xdr:sp macro="" textlink="">
        <xdr:nvSpPr>
          <xdr:cNvPr id="90" name="txt_Step" descr="Now try for yourself in the Meat section, in cell G22. You should end up with =VLOOKUP(F22,F17:G20,2,FALSE).&#10;&#10;">
            <a:extLst>
              <a:ext uri="{FF2B5EF4-FFF2-40B4-BE49-F238E27FC236}">
                <a16:creationId xmlns:a16="http://schemas.microsoft.com/office/drawing/2014/main" id="{B68C980F-AA7F-4426-944A-38ECD1891095}"/>
              </a:ext>
            </a:extLst>
          </xdr:cNvPr>
          <xdr:cNvSpPr txBox="1"/>
        </xdr:nvSpPr>
        <xdr:spPr>
          <a:xfrm>
            <a:off x="981857" y="5113996"/>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Essayez maintenant par vous-même dans la section Viande, dans la cellule G22. Vous devriez vous retrouver avec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=RECHERCHEV(F22;F17:G20;2;FAUX).</a:t>
            </a:r>
          </a:p>
        </xdr:txBody>
      </xdr:sp>
      <xdr:sp macro="" textlink="">
        <xdr:nvSpPr>
          <xdr:cNvPr id="91" name="shp_Step" descr="2">
            <a:extLst>
              <a:ext uri="{FF2B5EF4-FFF2-40B4-BE49-F238E27FC236}">
                <a16:creationId xmlns:a16="http://schemas.microsoft.com/office/drawing/2014/main" id="{A53BC9E1-CA0C-49C0-9F67-A1E10DB61244}"/>
              </a:ext>
            </a:extLst>
          </xdr:cNvPr>
          <xdr:cNvSpPr/>
        </xdr:nvSpPr>
        <xdr:spPr>
          <a:xfrm>
            <a:off x="561975" y="5072038"/>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1</xdr:col>
      <xdr:colOff>3684636</xdr:colOff>
      <xdr:row>27</xdr:row>
      <xdr:rowOff>176188</xdr:rowOff>
    </xdr:from>
    <xdr:to>
      <xdr:col>1</xdr:col>
      <xdr:colOff>4959806</xdr:colOff>
      <xdr:row>29</xdr:row>
      <xdr:rowOff>130637</xdr:rowOff>
    </xdr:to>
    <xdr:sp macro="" textlink="">
      <xdr:nvSpPr>
        <xdr:cNvPr id="92" name="NextButton" descr="Advance to the next sheet">
          <a:hlinkClick xmlns:r="http://schemas.openxmlformats.org/officeDocument/2006/relationships" r:id="rId1" tooltip="Click here to advance to the next worksheet"/>
          <a:extLst>
            <a:ext uri="{FF2B5EF4-FFF2-40B4-BE49-F238E27FC236}">
              <a16:creationId xmlns:a16="http://schemas.microsoft.com/office/drawing/2014/main" id="{36902CA8-91B2-4B89-B6B0-496D7B8D6012}"/>
            </a:ext>
          </a:extLst>
        </xdr:cNvPr>
        <xdr:cNvSpPr/>
      </xdr:nvSpPr>
      <xdr:spPr>
        <a:xfrm>
          <a:off x="4532361" y="5891188"/>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Suivant</a:t>
          </a:r>
        </a:p>
      </xdr:txBody>
    </xdr:sp>
    <xdr:clientData/>
  </xdr:twoCellAnchor>
  <xdr:twoCellAnchor>
    <xdr:from>
      <xdr:col>0</xdr:col>
      <xdr:colOff>333375</xdr:colOff>
      <xdr:row>59</xdr:row>
      <xdr:rowOff>123797</xdr:rowOff>
    </xdr:from>
    <xdr:to>
      <xdr:col>1</xdr:col>
      <xdr:colOff>5218938</xdr:colOff>
      <xdr:row>74</xdr:row>
      <xdr:rowOff>95251</xdr:rowOff>
    </xdr:to>
    <xdr:grpSp>
      <xdr:nvGrpSpPr>
        <xdr:cNvPr id="93" name="Group 92">
          <a:extLst>
            <a:ext uri="{FF2B5EF4-FFF2-40B4-BE49-F238E27FC236}">
              <a16:creationId xmlns:a16="http://schemas.microsoft.com/office/drawing/2014/main" id="{6AD4BB42-C99A-40EC-9E51-AFE390CD9507}"/>
            </a:ext>
          </a:extLst>
        </xdr:cNvPr>
        <xdr:cNvGrpSpPr/>
      </xdr:nvGrpSpPr>
      <xdr:grpSpPr>
        <a:xfrm>
          <a:off x="333375" y="11934797"/>
          <a:ext cx="5754243" cy="2828954"/>
          <a:chOff x="0" y="5524500"/>
          <a:chExt cx="5695950" cy="2828954"/>
        </a:xfrm>
      </xdr:grpSpPr>
      <xdr:sp macro="" textlink="">
        <xdr:nvSpPr>
          <xdr:cNvPr id="94" name="Rectangle 93">
            <a:extLst>
              <a:ext uri="{FF2B5EF4-FFF2-40B4-BE49-F238E27FC236}">
                <a16:creationId xmlns:a16="http://schemas.microsoft.com/office/drawing/2014/main" id="{CB220E95-575B-4BFE-A97A-4AFC50F13B21}"/>
              </a:ext>
            </a:extLst>
          </xdr:cNvPr>
          <xdr:cNvSpPr/>
        </xdr:nvSpPr>
        <xdr:spPr>
          <a:xfrm>
            <a:off x="0" y="5524500"/>
            <a:ext cx="5695950" cy="282895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95" name="Step" descr="More information on the web&#10;">
            <a:extLst>
              <a:ext uri="{FF2B5EF4-FFF2-40B4-BE49-F238E27FC236}">
                <a16:creationId xmlns:a16="http://schemas.microsoft.com/office/drawing/2014/main" id="{FE87144C-F98E-4BA5-A974-1D4FD44ACF2A}"/>
              </a:ext>
            </a:extLst>
          </xdr:cNvPr>
          <xdr:cNvSpPr txBox="1"/>
        </xdr:nvSpPr>
        <xdr:spPr>
          <a:xfrm>
            <a:off x="230082" y="5623754"/>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96" name="Straight Connector 95" descr="Decorative line">
            <a:extLst>
              <a:ext uri="{FF2B5EF4-FFF2-40B4-BE49-F238E27FC236}">
                <a16:creationId xmlns:a16="http://schemas.microsoft.com/office/drawing/2014/main" id="{FC75038A-1A57-4810-A200-F441A155BA62}"/>
              </a:ext>
            </a:extLst>
          </xdr:cNvPr>
          <xdr:cNvCxnSpPr>
            <a:cxnSpLocks/>
          </xdr:cNvCxnSpPr>
        </xdr:nvCxnSpPr>
        <xdr:spPr>
          <a:xfrm>
            <a:off x="233234" y="6032118"/>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97" name="Straight Connector 96" descr="Decorative line">
            <a:extLst>
              <a:ext uri="{FF2B5EF4-FFF2-40B4-BE49-F238E27FC236}">
                <a16:creationId xmlns:a16="http://schemas.microsoft.com/office/drawing/2014/main" id="{EAFBA7B8-06DC-4A15-A998-B588F058D108}"/>
              </a:ext>
            </a:extLst>
          </xdr:cNvPr>
          <xdr:cNvCxnSpPr>
            <a:cxnSpLocks/>
          </xdr:cNvCxnSpPr>
        </xdr:nvCxnSpPr>
        <xdr:spPr>
          <a:xfrm>
            <a:off x="233234" y="8140932"/>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62</xdr:row>
      <xdr:rowOff>111816</xdr:rowOff>
    </xdr:from>
    <xdr:to>
      <xdr:col>1</xdr:col>
      <xdr:colOff>2581275</xdr:colOff>
      <xdr:row>64</xdr:row>
      <xdr:rowOff>89895</xdr:rowOff>
    </xdr:to>
    <xdr:grpSp>
      <xdr:nvGrpSpPr>
        <xdr:cNvPr id="17" name="Group 16">
          <a:extLst>
            <a:ext uri="{FF2B5EF4-FFF2-40B4-BE49-F238E27FC236}">
              <a16:creationId xmlns:a16="http://schemas.microsoft.com/office/drawing/2014/main" id="{AA259A6F-5BA1-4BA7-97B7-539D915D1A18}"/>
            </a:ext>
          </a:extLst>
        </xdr:cNvPr>
        <xdr:cNvGrpSpPr/>
      </xdr:nvGrpSpPr>
      <xdr:grpSpPr>
        <a:xfrm>
          <a:off x="562406" y="12494316"/>
          <a:ext cx="2887549" cy="359079"/>
          <a:chOff x="562406" y="12494316"/>
          <a:chExt cx="2866594" cy="359079"/>
        </a:xfrm>
      </xdr:grpSpPr>
      <xdr:sp macro="" textlink="">
        <xdr:nvSpPr>
          <xdr:cNvPr id="98" name="Step" descr="All about the VLOOKUP function, Hyperlinked to web&#10;&#10;">
            <a:hlinkClick xmlns:r="http://schemas.openxmlformats.org/officeDocument/2006/relationships" r:id="rId2" tooltip="Select to learn all about the VLOOKUP function on the web"/>
            <a:extLst>
              <a:ext uri="{FF2B5EF4-FFF2-40B4-BE49-F238E27FC236}">
                <a16:creationId xmlns:a16="http://schemas.microsoft.com/office/drawing/2014/main" id="{A860ADA4-DD2D-4966-AB6B-7FB24178B7B9}"/>
              </a:ext>
            </a:extLst>
          </xdr:cNvPr>
          <xdr:cNvSpPr txBox="1"/>
        </xdr:nvSpPr>
        <xdr:spPr>
          <a:xfrm>
            <a:off x="1027591" y="12568676"/>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VLOOKUP</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99" name="Graphic 22" descr="Arrow">
            <a:hlinkClick xmlns:r="http://schemas.openxmlformats.org/officeDocument/2006/relationships" r:id="rId2" tooltip="Select to learn more from the web"/>
            <a:extLst>
              <a:ext uri="{FF2B5EF4-FFF2-40B4-BE49-F238E27FC236}">
                <a16:creationId xmlns:a16="http://schemas.microsoft.com/office/drawing/2014/main" id="{4016160B-6D5A-4000-A6B4-076F9835296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494316"/>
            <a:ext cx="492262" cy="359079"/>
          </a:xfrm>
          <a:prstGeom prst="rect">
            <a:avLst/>
          </a:prstGeom>
        </xdr:spPr>
      </xdr:pic>
    </xdr:grpSp>
    <xdr:clientData/>
  </xdr:twoCellAnchor>
  <xdr:twoCellAnchor>
    <xdr:from>
      <xdr:col>0</xdr:col>
      <xdr:colOff>562406</xdr:colOff>
      <xdr:row>64</xdr:row>
      <xdr:rowOff>117437</xdr:rowOff>
    </xdr:from>
    <xdr:to>
      <xdr:col>1</xdr:col>
      <xdr:colOff>2990850</xdr:colOff>
      <xdr:row>66</xdr:row>
      <xdr:rowOff>100826</xdr:rowOff>
    </xdr:to>
    <xdr:grpSp>
      <xdr:nvGrpSpPr>
        <xdr:cNvPr id="16" name="Group 15">
          <a:extLst>
            <a:ext uri="{FF2B5EF4-FFF2-40B4-BE49-F238E27FC236}">
              <a16:creationId xmlns:a16="http://schemas.microsoft.com/office/drawing/2014/main" id="{79235089-8072-43CC-BE8C-67B41C2F383F}"/>
            </a:ext>
          </a:extLst>
        </xdr:cNvPr>
        <xdr:cNvGrpSpPr/>
      </xdr:nvGrpSpPr>
      <xdr:grpSpPr>
        <a:xfrm>
          <a:off x="562406" y="12880937"/>
          <a:ext cx="3297124" cy="364389"/>
          <a:chOff x="562406" y="12880937"/>
          <a:chExt cx="3276169" cy="364389"/>
        </a:xfrm>
      </xdr:grpSpPr>
      <xdr:sp macro="" textlink="">
        <xdr:nvSpPr>
          <xdr:cNvPr id="100" name="Step" descr="All about the INDEX/MATCH functions, hyperlinked to web&#10;">
            <a:hlinkClick xmlns:r="http://schemas.openxmlformats.org/officeDocument/2006/relationships" r:id="rId5" tooltip="Select to learn all about the INDEX/MATCH functions on the web"/>
            <a:extLst>
              <a:ext uri="{FF2B5EF4-FFF2-40B4-BE49-F238E27FC236}">
                <a16:creationId xmlns:a16="http://schemas.microsoft.com/office/drawing/2014/main" id="{BEC8DAF3-59CC-4665-B2F7-C11D93097B1A}"/>
              </a:ext>
            </a:extLst>
          </xdr:cNvPr>
          <xdr:cNvSpPr txBox="1"/>
        </xdr:nvSpPr>
        <xdr:spPr>
          <a:xfrm>
            <a:off x="1027591" y="12946558"/>
            <a:ext cx="2810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INDEX/MATCH</a:t>
            </a:r>
            <a:r>
              <a:rPr lang="en-US" sz="1100" b="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functions</a:t>
            </a:r>
          </a:p>
        </xdr:txBody>
      </xdr:sp>
      <xdr:pic>
        <xdr:nvPicPr>
          <xdr:cNvPr id="101" name="Graphic 22" descr="Arrow">
            <a:hlinkClick xmlns:r="http://schemas.openxmlformats.org/officeDocument/2006/relationships" r:id="rId5" tooltip="Select to learn more from the web"/>
            <a:extLst>
              <a:ext uri="{FF2B5EF4-FFF2-40B4-BE49-F238E27FC236}">
                <a16:creationId xmlns:a16="http://schemas.microsoft.com/office/drawing/2014/main" id="{195ADA35-3365-4E6D-A3B7-5616E6E3623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2880937"/>
            <a:ext cx="492262" cy="364389"/>
          </a:xfrm>
          <a:prstGeom prst="rect">
            <a:avLst/>
          </a:prstGeom>
        </xdr:spPr>
      </xdr:pic>
    </xdr:grpSp>
    <xdr:clientData/>
  </xdr:twoCellAnchor>
  <xdr:twoCellAnchor>
    <xdr:from>
      <xdr:col>0</xdr:col>
      <xdr:colOff>562406</xdr:colOff>
      <xdr:row>70</xdr:row>
      <xdr:rowOff>165375</xdr:rowOff>
    </xdr:from>
    <xdr:to>
      <xdr:col>1</xdr:col>
      <xdr:colOff>2231317</xdr:colOff>
      <xdr:row>72</xdr:row>
      <xdr:rowOff>148764</xdr:rowOff>
    </xdr:to>
    <xdr:grpSp>
      <xdr:nvGrpSpPr>
        <xdr:cNvPr id="6" name="Group 5">
          <a:extLst>
            <a:ext uri="{FF2B5EF4-FFF2-40B4-BE49-F238E27FC236}">
              <a16:creationId xmlns:a16="http://schemas.microsoft.com/office/drawing/2014/main" id="{5C999AAF-BC52-4D03-84CC-9A10F67B8111}"/>
            </a:ext>
          </a:extLst>
        </xdr:cNvPr>
        <xdr:cNvGrpSpPr/>
      </xdr:nvGrpSpPr>
      <xdr:grpSpPr>
        <a:xfrm>
          <a:off x="562406" y="14071875"/>
          <a:ext cx="2537591" cy="364389"/>
          <a:chOff x="562406" y="14071875"/>
          <a:chExt cx="2516636" cy="364389"/>
        </a:xfrm>
      </xdr:grpSpPr>
      <xdr:sp macro="" textlink="">
        <xdr:nvSpPr>
          <xdr:cNvPr id="102" name="Step" descr="Free Excel training online, hyperlinked to web&#10;">
            <a:hlinkClick xmlns:r="http://schemas.openxmlformats.org/officeDocument/2006/relationships" r:id="rId6" tooltip="Select to learn about free Excel training on the web"/>
            <a:extLst>
              <a:ext uri="{FF2B5EF4-FFF2-40B4-BE49-F238E27FC236}">
                <a16:creationId xmlns:a16="http://schemas.microsoft.com/office/drawing/2014/main" id="{4781BFBE-B5EC-40E0-B408-A2571FFF08DE}"/>
              </a:ext>
            </a:extLst>
          </xdr:cNvPr>
          <xdr:cNvSpPr txBox="1"/>
        </xdr:nvSpPr>
        <xdr:spPr>
          <a:xfrm>
            <a:off x="1040199" y="14151554"/>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103" name="Graphic 22" descr="Arrow">
            <a:hlinkClick xmlns:r="http://schemas.openxmlformats.org/officeDocument/2006/relationships" r:id="rId6" tooltip="Select to learn more from the web"/>
            <a:extLst>
              <a:ext uri="{FF2B5EF4-FFF2-40B4-BE49-F238E27FC236}">
                <a16:creationId xmlns:a16="http://schemas.microsoft.com/office/drawing/2014/main" id="{AF92F961-1FAE-4795-A776-7AB9088DAC4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4071875"/>
            <a:ext cx="492262" cy="364389"/>
          </a:xfrm>
          <a:prstGeom prst="rect">
            <a:avLst/>
          </a:prstGeom>
        </xdr:spPr>
      </xdr:pic>
    </xdr:grpSp>
    <xdr:clientData/>
  </xdr:twoCellAnchor>
  <xdr:twoCellAnchor>
    <xdr:from>
      <xdr:col>0</xdr:col>
      <xdr:colOff>562406</xdr:colOff>
      <xdr:row>66</xdr:row>
      <xdr:rowOff>128368</xdr:rowOff>
    </xdr:from>
    <xdr:to>
      <xdr:col>1</xdr:col>
      <xdr:colOff>2609850</xdr:colOff>
      <xdr:row>68</xdr:row>
      <xdr:rowOff>111757</xdr:rowOff>
    </xdr:to>
    <xdr:grpSp>
      <xdr:nvGrpSpPr>
        <xdr:cNvPr id="8" name="Group 7">
          <a:extLst>
            <a:ext uri="{FF2B5EF4-FFF2-40B4-BE49-F238E27FC236}">
              <a16:creationId xmlns:a16="http://schemas.microsoft.com/office/drawing/2014/main" id="{F2122903-3464-4677-84BC-66087719FF0D}"/>
            </a:ext>
          </a:extLst>
        </xdr:cNvPr>
        <xdr:cNvGrpSpPr/>
      </xdr:nvGrpSpPr>
      <xdr:grpSpPr>
        <a:xfrm>
          <a:off x="562406" y="13272868"/>
          <a:ext cx="2916124" cy="364389"/>
          <a:chOff x="562406" y="13272868"/>
          <a:chExt cx="2895169" cy="364389"/>
        </a:xfrm>
      </xdr:grpSpPr>
      <xdr:sp macro="" textlink="">
        <xdr:nvSpPr>
          <xdr:cNvPr id="104" name="Step" descr="All about the IFERROR function, hyperlinked to web&#10;">
            <a:hlinkClick xmlns:r="http://schemas.openxmlformats.org/officeDocument/2006/relationships" r:id="rId7" tooltip="Select to learn all about the IFERROR function on the web"/>
            <a:extLst>
              <a:ext uri="{FF2B5EF4-FFF2-40B4-BE49-F238E27FC236}">
                <a16:creationId xmlns:a16="http://schemas.microsoft.com/office/drawing/2014/main" id="{FD7D1475-3C3C-4885-B019-D94FC37509D0}"/>
              </a:ext>
            </a:extLst>
          </xdr:cNvPr>
          <xdr:cNvSpPr txBox="1"/>
        </xdr:nvSpPr>
        <xdr:spPr>
          <a:xfrm>
            <a:off x="1027591" y="13318033"/>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IFERROR</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pic>
        <xdr:nvPicPr>
          <xdr:cNvPr id="105" name="Graphic 22" descr="Arrow">
            <a:hlinkClick xmlns:r="http://schemas.openxmlformats.org/officeDocument/2006/relationships" r:id="rId7" tooltip="Select to learn more from the web"/>
            <a:extLst>
              <a:ext uri="{FF2B5EF4-FFF2-40B4-BE49-F238E27FC236}">
                <a16:creationId xmlns:a16="http://schemas.microsoft.com/office/drawing/2014/main" id="{E3D1E6D4-DEEE-4984-BF2B-F66CBB366BF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272868"/>
            <a:ext cx="492262" cy="364389"/>
          </a:xfrm>
          <a:prstGeom prst="rect">
            <a:avLst/>
          </a:prstGeom>
        </xdr:spPr>
      </xdr:pic>
    </xdr:grpSp>
    <xdr:clientData/>
  </xdr:twoCellAnchor>
  <xdr:twoCellAnchor>
    <xdr:from>
      <xdr:col>0</xdr:col>
      <xdr:colOff>562406</xdr:colOff>
      <xdr:row>68</xdr:row>
      <xdr:rowOff>139299</xdr:rowOff>
    </xdr:from>
    <xdr:to>
      <xdr:col>1</xdr:col>
      <xdr:colOff>3190874</xdr:colOff>
      <xdr:row>70</xdr:row>
      <xdr:rowOff>122688</xdr:rowOff>
    </xdr:to>
    <xdr:grpSp>
      <xdr:nvGrpSpPr>
        <xdr:cNvPr id="7" name="Group 6">
          <a:extLst>
            <a:ext uri="{FF2B5EF4-FFF2-40B4-BE49-F238E27FC236}">
              <a16:creationId xmlns:a16="http://schemas.microsoft.com/office/drawing/2014/main" id="{56B2B91D-B542-499E-8788-299E4FFAC823}"/>
            </a:ext>
          </a:extLst>
        </xdr:cNvPr>
        <xdr:cNvGrpSpPr/>
      </xdr:nvGrpSpPr>
      <xdr:grpSpPr>
        <a:xfrm>
          <a:off x="562406" y="13664799"/>
          <a:ext cx="3497148" cy="364389"/>
          <a:chOff x="562406" y="13664799"/>
          <a:chExt cx="3476193" cy="364389"/>
        </a:xfrm>
      </xdr:grpSpPr>
      <xdr:sp macro="" textlink="">
        <xdr:nvSpPr>
          <xdr:cNvPr id="106" name="Step" descr="Use PivotTables to analyze worksheet data&#10;">
            <a:hlinkClick xmlns:r="http://schemas.openxmlformats.org/officeDocument/2006/relationships" r:id="rId8" tooltip="Select to learn all about creating a PivotTable to analyze worksheet data on the web"/>
            <a:extLst>
              <a:ext uri="{FF2B5EF4-FFF2-40B4-BE49-F238E27FC236}">
                <a16:creationId xmlns:a16="http://schemas.microsoft.com/office/drawing/2014/main" id="{2E0B811D-CA68-487C-A6BB-4DE6198A877D}"/>
              </a:ext>
            </a:extLst>
          </xdr:cNvPr>
          <xdr:cNvSpPr txBox="1"/>
        </xdr:nvSpPr>
        <xdr:spPr>
          <a:xfrm>
            <a:off x="1027590" y="13727608"/>
            <a:ext cx="301100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Use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PivotTables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to analyze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worksheet data</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107" name="Graphic 22" descr="Arrow">
            <a:hlinkClick xmlns:r="http://schemas.openxmlformats.org/officeDocument/2006/relationships" r:id="rId8" tooltip="Select to learn more from the web"/>
            <a:extLst>
              <a:ext uri="{FF2B5EF4-FFF2-40B4-BE49-F238E27FC236}">
                <a16:creationId xmlns:a16="http://schemas.microsoft.com/office/drawing/2014/main" id="{12216F95-C4E1-460F-A45F-21F3157AFFB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62406" y="13664799"/>
            <a:ext cx="492262" cy="364389"/>
          </a:xfrm>
          <a:prstGeom prst="rect">
            <a:avLst/>
          </a:prstGeom>
        </xdr:spPr>
      </xdr:pic>
    </xdr:grpSp>
    <xdr:clientData/>
  </xdr:twoCellAnchor>
  <xdr:twoCellAnchor editAs="absolute">
    <xdr:from>
      <xdr:col>0</xdr:col>
      <xdr:colOff>666750</xdr:colOff>
      <xdr:row>27</xdr:row>
      <xdr:rowOff>176188</xdr:rowOff>
    </xdr:from>
    <xdr:to>
      <xdr:col>1</xdr:col>
      <xdr:colOff>2560307</xdr:colOff>
      <xdr:row>30</xdr:row>
      <xdr:rowOff>140375</xdr:rowOff>
    </xdr:to>
    <xdr:sp macro="" textlink="">
      <xdr:nvSpPr>
        <xdr:cNvPr id="116" name="btn_DeepDive" descr="Dive down for more detail">
          <a:hlinkClick xmlns:r="http://schemas.openxmlformats.org/officeDocument/2006/relationships" r:id="rId9"/>
          <a:extLst>
            <a:ext uri="{FF2B5EF4-FFF2-40B4-BE49-F238E27FC236}">
              <a16:creationId xmlns:a16="http://schemas.microsoft.com/office/drawing/2014/main" id="{7EED573E-E4AE-4562-BCEC-B2731DD6AA78}"/>
            </a:ext>
          </a:extLst>
        </xdr:cNvPr>
        <xdr:cNvSpPr/>
      </xdr:nvSpPr>
      <xdr:spPr>
        <a:xfrm>
          <a:off x="666750" y="5891188"/>
          <a:ext cx="2741282" cy="535687"/>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Descendez pour plus</a:t>
          </a:r>
          <a:r>
            <a:rPr lang="en-US" sz="1200" baseline="0">
              <a:solidFill>
                <a:srgbClr val="0B744D"/>
              </a:solidFill>
              <a:latin typeface="Segoe UI" pitchFamily="34" charset="0"/>
              <a:ea typeface="Segoe UI" pitchFamily="34" charset="0"/>
              <a:cs typeface="Segoe UI" pitchFamily="34" charset="0"/>
            </a:rPr>
            <a:t> de détails</a:t>
          </a:r>
          <a:endParaRPr lang="en-US" sz="1200">
            <a:solidFill>
              <a:srgbClr val="0B744D"/>
            </a:solidFill>
            <a:latin typeface="Segoe UI" pitchFamily="34" charset="0"/>
            <a:ea typeface="Segoe UI" pitchFamily="34" charset="0"/>
            <a:cs typeface="Segoe UI" pitchFamily="34" charset="0"/>
          </a:endParaRPr>
        </a:p>
      </xdr:txBody>
    </xdr:sp>
    <xdr:clientData/>
  </xdr:twoCellAnchor>
  <xdr:twoCellAnchor>
    <xdr:from>
      <xdr:col>0</xdr:col>
      <xdr:colOff>333375</xdr:colOff>
      <xdr:row>31</xdr:row>
      <xdr:rowOff>161897</xdr:rowOff>
    </xdr:from>
    <xdr:to>
      <xdr:col>1</xdr:col>
      <xdr:colOff>5219700</xdr:colOff>
      <xdr:row>59</xdr:row>
      <xdr:rowOff>38072</xdr:rowOff>
    </xdr:to>
    <xdr:grpSp>
      <xdr:nvGrpSpPr>
        <xdr:cNvPr id="117" name="Group 116">
          <a:extLst>
            <a:ext uri="{FF2B5EF4-FFF2-40B4-BE49-F238E27FC236}">
              <a16:creationId xmlns:a16="http://schemas.microsoft.com/office/drawing/2014/main" id="{13E6C982-6CD3-4F56-8160-7A99956655B4}"/>
            </a:ext>
          </a:extLst>
        </xdr:cNvPr>
        <xdr:cNvGrpSpPr/>
      </xdr:nvGrpSpPr>
      <xdr:grpSpPr>
        <a:xfrm>
          <a:off x="333375" y="6638897"/>
          <a:ext cx="5755005" cy="5210175"/>
          <a:chOff x="381000" y="6619847"/>
          <a:chExt cx="5734050" cy="5210175"/>
        </a:xfrm>
      </xdr:grpSpPr>
      <xdr:sp macro="" textlink="">
        <xdr:nvSpPr>
          <xdr:cNvPr id="118" name="txt_TourBackground" descr="Background">
            <a:extLst>
              <a:ext uri="{FF2B5EF4-FFF2-40B4-BE49-F238E27FC236}">
                <a16:creationId xmlns:a16="http://schemas.microsoft.com/office/drawing/2014/main" id="{D3E3BF3F-62BA-42BD-AAAA-C2798A711BDD}"/>
              </a:ext>
            </a:extLst>
          </xdr:cNvPr>
          <xdr:cNvSpPr/>
        </xdr:nvSpPr>
        <xdr:spPr>
          <a:xfrm>
            <a:off x="381000" y="6619847"/>
            <a:ext cx="5734050" cy="52101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119" name="txt_TourHeader" descr="VLOOKUP and #NA">
            <a:extLst>
              <a:ext uri="{FF2B5EF4-FFF2-40B4-BE49-F238E27FC236}">
                <a16:creationId xmlns:a16="http://schemas.microsoft.com/office/drawing/2014/main" id="{386B07F5-B225-4CBC-99F5-455BC4C0E041}"/>
              </a:ext>
            </a:extLst>
          </xdr:cNvPr>
          <xdr:cNvSpPr txBox="1"/>
        </xdr:nvSpPr>
        <xdr:spPr>
          <a:xfrm>
            <a:off x="622303" y="6715096"/>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RECHERCHEV et #N/A</a:t>
            </a:r>
          </a:p>
        </xdr:txBody>
      </xdr:sp>
      <xdr:cxnSp macro="">
        <xdr:nvCxnSpPr>
          <xdr:cNvPr id="120" name="txt_TourLine1" descr="Decorative line">
            <a:extLst>
              <a:ext uri="{FF2B5EF4-FFF2-40B4-BE49-F238E27FC236}">
                <a16:creationId xmlns:a16="http://schemas.microsoft.com/office/drawing/2014/main" id="{630863CB-3AD3-41AC-8A46-12E685348E7F}"/>
              </a:ext>
            </a:extLst>
          </xdr:cNvPr>
          <xdr:cNvCxnSpPr>
            <a:cxnSpLocks/>
          </xdr:cNvCxnSpPr>
        </xdr:nvCxnSpPr>
        <xdr:spPr>
          <a:xfrm>
            <a:off x="623901" y="7134198"/>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21" name="txt_TourLine2" descr="Decorative line">
            <a:extLst>
              <a:ext uri="{FF2B5EF4-FFF2-40B4-BE49-F238E27FC236}">
                <a16:creationId xmlns:a16="http://schemas.microsoft.com/office/drawing/2014/main" id="{9714E556-7850-4148-BEC1-BE99A53AD145}"/>
              </a:ext>
            </a:extLst>
          </xdr:cNvPr>
          <xdr:cNvCxnSpPr>
            <a:cxnSpLocks/>
          </xdr:cNvCxnSpPr>
        </xdr:nvCxnSpPr>
        <xdr:spPr>
          <a:xfrm>
            <a:off x="631494" y="11334933"/>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122" name="txt_TourIntro" descr="Invariably, you'll run into a situation where VLOOKUP can't find what you asked it to, and it returns an error (#N/A). Sometimes, it's because the lookup value simply doesn't exist, or it can because the reference cell doesn't have a value yet.&#10;&#10;">
            <a:extLst>
              <a:ext uri="{FF2B5EF4-FFF2-40B4-BE49-F238E27FC236}">
                <a16:creationId xmlns:a16="http://schemas.microsoft.com/office/drawing/2014/main" id="{14D15DCB-93AB-4F22-9D6D-FBFB2C3479BE}"/>
              </a:ext>
            </a:extLst>
          </xdr:cNvPr>
          <xdr:cNvSpPr txBox="1"/>
        </xdr:nvSpPr>
        <xdr:spPr>
          <a:xfrm>
            <a:off x="626880" y="7144753"/>
            <a:ext cx="5251444" cy="5789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Invariablement, vous vous retrouverez dans une situation où RECHERCHEV ne peut pas trouver ce que vous lui avez demandé, et il renvoie une erreur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Parfois, c’est parce que la valeur de recherche n’existe tout simplement pas, ou c’est parce que la cellule de référence n’a pas encore de valeur.</a:t>
            </a:r>
          </a:p>
        </xdr:txBody>
      </xdr:sp>
      <xdr:grpSp>
        <xdr:nvGrpSpPr>
          <xdr:cNvPr id="123" name="grp_Step">
            <a:extLst>
              <a:ext uri="{FF2B5EF4-FFF2-40B4-BE49-F238E27FC236}">
                <a16:creationId xmlns:a16="http://schemas.microsoft.com/office/drawing/2014/main" id="{5965A0D4-2BC5-48D7-B26B-96EE64B5243D}"/>
              </a:ext>
            </a:extLst>
          </xdr:cNvPr>
          <xdr:cNvGrpSpPr/>
        </xdr:nvGrpSpPr>
        <xdr:grpSpPr>
          <a:xfrm>
            <a:off x="619125" y="7970540"/>
            <a:ext cx="5345458" cy="1047730"/>
            <a:chOff x="562285" y="7684818"/>
            <a:chExt cx="5310777" cy="1047730"/>
          </a:xfrm>
        </xdr:grpSpPr>
        <xdr:sp macro="" textlink="">
          <xdr:nvSpPr>
            <xdr:cNvPr id="127" name="txt_Step" descr="If you know your lookup value exists, but want to hide the error if the lookup cell is blank, you can use an IF statement. In this case, we'll wrap our existing VLOOKUP formula like this in cell D43:&#10;&#10;=IF(C43=&quot;&quot;,&quot;&quot;,VLOOKUP(C43,C37:D41,2,FALSE))&#10;&#10;This says if cell C43 equals nothing (&quot;&quot;), then return nothing, otherwise return the VLOOKUP's results. Note the second closing parenthesis at the end of the formula. This closes the IF statement.&#10;&#10;">
              <a:extLst>
                <a:ext uri="{FF2B5EF4-FFF2-40B4-BE49-F238E27FC236}">
                  <a16:creationId xmlns:a16="http://schemas.microsoft.com/office/drawing/2014/main" id="{EEACBD37-1990-4370-9F66-49CF679806B6}"/>
                </a:ext>
              </a:extLst>
            </xdr:cNvPr>
            <xdr:cNvSpPr txBox="1"/>
          </xdr:nvSpPr>
          <xdr:spPr>
            <a:xfrm>
              <a:off x="971899" y="7684818"/>
              <a:ext cx="4901163" cy="10477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Si vous savez que votre valeur de recherche existe, mais que vous souhaitez masquer l’erreur si la cellule de recherche est vide, vous pouvez utiliser une instruction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SI</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Dans ce cas, nous allons encapsuler notre formule RECHERCHEV existante comme suit dans la cellule D43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=SI(C43="";"";RECHERCHEV(C43;C37:D41;2;FAUX))</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Cela dit, « Si la cellule C43 est égale à rien («  »), alors ne renvoyez rien, sinon renvoyez les résultats de la RECHERCHEV ». Notez la deuxième parenthèse fermante à la fin de la formule. L’instruction SI est alors fermée.</a:t>
              </a:r>
            </a:p>
            <a:p>
              <a:pPr marL="0" marR="0" lvl="0" indent="0" defTabSz="914400" eaLnBrk="1" fontAlgn="auto" latinLnBrk="0" hangingPunct="1">
                <a:lnSpc>
                  <a:spcPct val="100000"/>
                </a:lnSpc>
                <a:spcBef>
                  <a:spcPts val="0"/>
                </a:spcBef>
                <a:spcAft>
                  <a:spcPts val="0"/>
                </a:spcAft>
                <a:buClrTx/>
                <a:buSzTx/>
                <a:buFontTx/>
                <a:buNone/>
                <a:tabLst/>
                <a:defRPr/>
              </a:pPr>
              <a:b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b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128" name="shp_Step" descr="1">
              <a:extLst>
                <a:ext uri="{FF2B5EF4-FFF2-40B4-BE49-F238E27FC236}">
                  <a16:creationId xmlns:a16="http://schemas.microsoft.com/office/drawing/2014/main" id="{FF268881-27CD-4E87-AFEB-AFD303754FA4}"/>
                </a:ext>
              </a:extLst>
            </xdr:cNvPr>
            <xdr:cNvSpPr/>
          </xdr:nvSpPr>
          <xdr:spPr>
            <a:xfrm>
              <a:off x="562285" y="77343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grpSp>
        <xdr:nvGrpSpPr>
          <xdr:cNvPr id="124" name="Group 123">
            <a:extLst>
              <a:ext uri="{FF2B5EF4-FFF2-40B4-BE49-F238E27FC236}">
                <a16:creationId xmlns:a16="http://schemas.microsoft.com/office/drawing/2014/main" id="{E6606029-FD51-46CF-AFBE-ED7D2B796703}"/>
              </a:ext>
            </a:extLst>
          </xdr:cNvPr>
          <xdr:cNvGrpSpPr/>
        </xdr:nvGrpSpPr>
        <xdr:grpSpPr>
          <a:xfrm>
            <a:off x="619125" y="9702185"/>
            <a:ext cx="5214439" cy="554249"/>
            <a:chOff x="11201400" y="3472863"/>
            <a:chExt cx="5214439" cy="554249"/>
          </a:xfrm>
        </xdr:grpSpPr>
        <xdr:sp macro="" textlink="">
          <xdr:nvSpPr>
            <xdr:cNvPr id="125" name="txt_Step" descr="If you're not sure your lookup value exists, but you still want to suppress the #N/A error, you can use an error handling function called IFERROR in cell G43: =IFERROR(VLOOKUP(F43,F37:G41,2,FALSE),&quot;&quot;). IFERROR says if the VLOOKUP returns a valid result, then display that, otherwise, display nothing (&quot;&quot;). We displayed nothing here (&quot;&quot;), but you can also use numbers (0,1, 2, etc.), or text, such as &quot;Formula isn't correct&quot;.&#10;&#10;">
              <a:extLst>
                <a:ext uri="{FF2B5EF4-FFF2-40B4-BE49-F238E27FC236}">
                  <a16:creationId xmlns:a16="http://schemas.microsoft.com/office/drawing/2014/main" id="{250F4D35-4886-4A69-B7A9-2E3BC66C4614}"/>
                </a:ext>
              </a:extLst>
            </xdr:cNvPr>
            <xdr:cNvSpPr txBox="1"/>
          </xdr:nvSpPr>
          <xdr:spPr>
            <a:xfrm>
              <a:off x="11606096" y="3472863"/>
              <a:ext cx="4809743"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Si vous n’êtes pas sûr que votre valeur de recherche existe, mais que vous souhaitez tout de même supprimer l’erreur #N/A, vous pouvez utiliser une fonction de gestion des erreurs appelée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SIERREUR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dans la cellule G43 :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=SIERREUR(RECHERCHEV(F43;F37:G41;2;FAUX);"")</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SIERREUR dit : « Si la RECHERCHEV renvoie un résultat valide, alors affichez cela, sinon, n’affichez rien («  ») ». Nous n’avons rien affiché ici («  »), mais vous pouvez également utiliser des chiffres (0, 1, 2, etc.) ou du texte, tel que « La formule n’est pas correcte ».</a:t>
              </a:r>
            </a:p>
          </xdr:txBody>
        </xdr:sp>
        <xdr:sp macro="" textlink="">
          <xdr:nvSpPr>
            <xdr:cNvPr id="126" name="shp_Step" descr="2">
              <a:extLst>
                <a:ext uri="{FF2B5EF4-FFF2-40B4-BE49-F238E27FC236}">
                  <a16:creationId xmlns:a16="http://schemas.microsoft.com/office/drawing/2014/main" id="{5CAEF7F2-CADC-4405-A740-3677A6585269}"/>
                </a:ext>
              </a:extLst>
            </xdr:cNvPr>
            <xdr:cNvSpPr/>
          </xdr:nvSpPr>
          <xdr:spPr>
            <a:xfrm>
              <a:off x="11201400" y="36195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grpSp>
    <xdr:clientData/>
  </xdr:twoCellAnchor>
  <xdr:twoCellAnchor editAs="absolute">
    <xdr:from>
      <xdr:col>0</xdr:col>
      <xdr:colOff>571500</xdr:colOff>
      <xdr:row>56</xdr:row>
      <xdr:rowOff>180947</xdr:rowOff>
    </xdr:from>
    <xdr:to>
      <xdr:col>1</xdr:col>
      <xdr:colOff>998945</xdr:colOff>
      <xdr:row>58</xdr:row>
      <xdr:rowOff>135396</xdr:rowOff>
    </xdr:to>
    <xdr:sp macro="" textlink="">
      <xdr:nvSpPr>
        <xdr:cNvPr id="129" name="PreviousButton" descr="Return to the previous sheet">
          <a:hlinkClick xmlns:r="http://schemas.openxmlformats.org/officeDocument/2006/relationships" r:id="rId10" tooltip="Click here to go back to the previous sheet"/>
          <a:extLst>
            <a:ext uri="{FF2B5EF4-FFF2-40B4-BE49-F238E27FC236}">
              <a16:creationId xmlns:a16="http://schemas.microsoft.com/office/drawing/2014/main" id="{049FDD6C-0419-436A-A64D-A3B2D630D4B4}"/>
            </a:ext>
          </a:extLst>
        </xdr:cNvPr>
        <xdr:cNvSpPr/>
      </xdr:nvSpPr>
      <xdr:spPr>
        <a:xfrm flipH="1">
          <a:off x="571500"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Précédent</a:t>
          </a:r>
        </a:p>
      </xdr:txBody>
    </xdr:sp>
    <xdr:clientData fPrintsWithSheet="0"/>
  </xdr:twoCellAnchor>
  <xdr:twoCellAnchor editAs="absolute">
    <xdr:from>
      <xdr:col>1</xdr:col>
      <xdr:colOff>3665586</xdr:colOff>
      <xdr:row>56</xdr:row>
      <xdr:rowOff>180947</xdr:rowOff>
    </xdr:from>
    <xdr:to>
      <xdr:col>1</xdr:col>
      <xdr:colOff>4940756</xdr:colOff>
      <xdr:row>58</xdr:row>
      <xdr:rowOff>135396</xdr:rowOff>
    </xdr:to>
    <xdr:sp macro="" textlink="">
      <xdr:nvSpPr>
        <xdr:cNvPr id="130" name="NextButton" descr="Advance to the next sheet">
          <a:hlinkClick xmlns:r="http://schemas.openxmlformats.org/officeDocument/2006/relationships" r:id="rId1" tooltip="Click here to go back to the previous sheet"/>
          <a:extLst>
            <a:ext uri="{FF2B5EF4-FFF2-40B4-BE49-F238E27FC236}">
              <a16:creationId xmlns:a16="http://schemas.microsoft.com/office/drawing/2014/main" id="{7E521B5B-4F6E-46CF-9081-B282E69CE49D}"/>
            </a:ext>
          </a:extLst>
        </xdr:cNvPr>
        <xdr:cNvSpPr/>
      </xdr:nvSpPr>
      <xdr:spPr>
        <a:xfrm>
          <a:off x="4513311" y="11420447"/>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Suivant</a:t>
          </a:r>
        </a:p>
      </xdr:txBody>
    </xdr:sp>
    <xdr:clientData fPrintsWithSheet="0"/>
  </xdr:twoCellAnchor>
  <xdr:twoCellAnchor editAs="absolute">
    <xdr:from>
      <xdr:col>3</xdr:col>
      <xdr:colOff>428626</xdr:colOff>
      <xdr:row>43</xdr:row>
      <xdr:rowOff>76208</xdr:rowOff>
    </xdr:from>
    <xdr:to>
      <xdr:col>9</xdr:col>
      <xdr:colOff>285751</xdr:colOff>
      <xdr:row>56</xdr:row>
      <xdr:rowOff>22860</xdr:rowOff>
    </xdr:to>
    <xdr:grpSp>
      <xdr:nvGrpSpPr>
        <xdr:cNvPr id="131" name="IMPORTANT DETAIL" descr="IMPORTANT DETAIL&#10;&#10;">
          <a:extLst>
            <a:ext uri="{FF2B5EF4-FFF2-40B4-BE49-F238E27FC236}">
              <a16:creationId xmlns:a16="http://schemas.microsoft.com/office/drawing/2014/main" id="{321AE9BC-CB50-4E20-92DE-ED300BC55383}"/>
            </a:ext>
          </a:extLst>
        </xdr:cNvPr>
        <xdr:cNvGrpSpPr/>
      </xdr:nvGrpSpPr>
      <xdr:grpSpPr>
        <a:xfrm>
          <a:off x="7896226" y="8839208"/>
          <a:ext cx="3979545" cy="2423152"/>
          <a:chOff x="6788150" y="10960177"/>
          <a:chExt cx="3989022" cy="1708075"/>
        </a:xfrm>
      </xdr:grpSpPr>
      <xdr:sp macro="" textlink="">
        <xdr:nvSpPr>
          <xdr:cNvPr id="132" name="Instruction" descr="IMPORTANT DETAIL&#10;IFERROR is what's known as a blanket error handler, meaning it will suppress any error your formula might throw. This can cause problems if Excel is giving you a notification that your formula has a legitimate error that needs to be fixed.&#10;&#10;A rule of thumb is to not add error handlers to your formulas until you're absolutely certain they work properly.&#10;">
            <a:extLst>
              <a:ext uri="{FF2B5EF4-FFF2-40B4-BE49-F238E27FC236}">
                <a16:creationId xmlns:a16="http://schemas.microsoft.com/office/drawing/2014/main" id="{2A97E2F2-8B10-4CB5-B606-3B7DCC83E9FB}"/>
              </a:ext>
            </a:extLst>
          </xdr:cNvPr>
          <xdr:cNvSpPr txBox="1"/>
        </xdr:nvSpPr>
        <xdr:spPr>
          <a:xfrm>
            <a:off x="7073899" y="11363327"/>
            <a:ext cx="3703273" cy="1304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DÉTAIL</a:t>
            </a:r>
            <a:r>
              <a:rPr lang="en-US" sz="1200" b="1" kern="0" baseline="0">
                <a:solidFill>
                  <a:srgbClr val="ED7D31">
                    <a:lumMod val="60000"/>
                    <a:lumOff val="40000"/>
                  </a:srgbClr>
                </a:solidFill>
                <a:latin typeface="+mj-lt"/>
                <a:ea typeface="Segoe UI" pitchFamily="34" charset="0"/>
                <a:cs typeface="Segoe UI Light" panose="020B0502040204020203" pitchFamily="34" charset="0"/>
              </a:rPr>
              <a:t> IMPORTANT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1" i="0" kern="1200" baseline="0">
                <a:solidFill>
                  <a:schemeClr val="dk1"/>
                </a:solidFill>
                <a:effectLst/>
                <a:latin typeface="+mn-lt"/>
                <a:ea typeface="+mn-ea"/>
                <a:cs typeface="+mn-cs"/>
              </a:rPr>
              <a:t>SIERREUR</a:t>
            </a:r>
            <a:r>
              <a:rPr lang="en-US" sz="1100" b="0" i="0" kern="1200" baseline="0">
                <a:solidFill>
                  <a:schemeClr val="dk1"/>
                </a:solidFill>
                <a:effectLst/>
                <a:latin typeface="+mn-lt"/>
                <a:ea typeface="+mn-ea"/>
                <a:cs typeface="+mn-cs"/>
              </a:rPr>
              <a:t> est ce que l’on appelle un gestionnaire d’erreurs globales, ce qui signifie qu’il supprimera toute erreur que votre formule pourrait générer. Cela peut causer des problèmes si Excel vous envoie une notification indiquant que votre formule contient une erreur légitime qui doit être corrigée. </a:t>
            </a:r>
          </a:p>
          <a:p>
            <a:pPr eaLnBrk="1" fontAlgn="auto" latinLnBrk="0" hangingPunct="1"/>
            <a:r>
              <a:rPr lang="en-US" sz="1100" b="0" i="0" kern="1200" baseline="0">
                <a:solidFill>
                  <a:schemeClr val="dk1"/>
                </a:solidFill>
                <a:effectLst/>
                <a:latin typeface="+mn-lt"/>
                <a:ea typeface="+mn-ea"/>
                <a:cs typeface="+mn-cs"/>
              </a:rPr>
              <a:t>En règle générale, vous n’ajoutez pas de gestionnaires d’erreurs à vos formules tant que vous n’êtes pas absolument certain qu’elles fonctionnent correctement.</a:t>
            </a:r>
            <a:endParaRPr lang="en-US" sz="1100">
              <a:effectLst/>
            </a:endParaRPr>
          </a:p>
        </xdr:txBody>
      </xdr:sp>
      <xdr:pic>
        <xdr:nvPicPr>
          <xdr:cNvPr id="133" name="Magnify glass" descr="Magnifying glass">
            <a:extLst>
              <a:ext uri="{FF2B5EF4-FFF2-40B4-BE49-F238E27FC236}">
                <a16:creationId xmlns:a16="http://schemas.microsoft.com/office/drawing/2014/main" id="{80E002ED-1A1C-4600-8617-DACB1954AE3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flipH="1">
            <a:off x="6788150" y="11420475"/>
            <a:ext cx="352313" cy="339611"/>
          </a:xfrm>
          <a:prstGeom prst="rect">
            <a:avLst/>
          </a:prstGeom>
        </xdr:spPr>
      </xdr:pic>
      <xdr:sp macro="" textlink="">
        <xdr:nvSpPr>
          <xdr:cNvPr id="134" name="Arrow" descr="Arrow">
            <a:extLst>
              <a:ext uri="{FF2B5EF4-FFF2-40B4-BE49-F238E27FC236}">
                <a16:creationId xmlns:a16="http://schemas.microsoft.com/office/drawing/2014/main" id="{1531872D-805C-4E14-9E2F-6B51D84DF3B2}"/>
              </a:ext>
            </a:extLst>
          </xdr:cNvPr>
          <xdr:cNvSpPr/>
        </xdr:nvSpPr>
        <xdr:spPr>
          <a:xfrm rot="3874191">
            <a:off x="8229331" y="10969973"/>
            <a:ext cx="442979" cy="423388"/>
          </a:xfrm>
          <a:prstGeom prst="arc">
            <a:avLst>
              <a:gd name="adj1" fmla="val 15011426"/>
              <a:gd name="adj2" fmla="val 672396"/>
            </a:avLst>
          </a:prstGeom>
          <a:ln w="19050">
            <a:solidFill>
              <a:schemeClr val="accent2">
                <a:lumMod val="60000"/>
                <a:lumOff val="40000"/>
              </a:schemeClr>
            </a:solidFill>
            <a:headEnd type="triangle"/>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grpSp>
    <xdr:clientData/>
  </xdr:twoCellAnchor>
  <xdr:twoCellAnchor>
    <xdr:from>
      <xdr:col>1</xdr:col>
      <xdr:colOff>100019</xdr:colOff>
      <xdr:row>6</xdr:row>
      <xdr:rowOff>66655</xdr:rowOff>
    </xdr:from>
    <xdr:to>
      <xdr:col>1</xdr:col>
      <xdr:colOff>5090160</xdr:colOff>
      <xdr:row>19</xdr:row>
      <xdr:rowOff>144351</xdr:rowOff>
    </xdr:to>
    <xdr:grpSp>
      <xdr:nvGrpSpPr>
        <xdr:cNvPr id="135" name="Group 134">
          <a:extLst>
            <a:ext uri="{FF2B5EF4-FFF2-40B4-BE49-F238E27FC236}">
              <a16:creationId xmlns:a16="http://schemas.microsoft.com/office/drawing/2014/main" id="{6CD3A2DF-2D37-45A6-9A63-6B14AFC74B8A}"/>
            </a:ext>
          </a:extLst>
        </xdr:cNvPr>
        <xdr:cNvGrpSpPr/>
      </xdr:nvGrpSpPr>
      <xdr:grpSpPr>
        <a:xfrm>
          <a:off x="968699" y="1781155"/>
          <a:ext cx="4990141" cy="2554196"/>
          <a:chOff x="2943225" y="1476375"/>
          <a:chExt cx="3762375" cy="2554196"/>
        </a:xfrm>
      </xdr:grpSpPr>
      <xdr:sp macro="" textlink="">
        <xdr:nvSpPr>
          <xdr:cNvPr id="136" name="FormulaBraceLower">
            <a:extLst>
              <a:ext uri="{FF2B5EF4-FFF2-40B4-BE49-F238E27FC236}">
                <a16:creationId xmlns:a16="http://schemas.microsoft.com/office/drawing/2014/main" id="{C914B05B-1B48-413D-9651-8935235A015E}"/>
              </a:ext>
            </a:extLst>
          </xdr:cNvPr>
          <xdr:cNvSpPr/>
        </xdr:nvSpPr>
        <xdr:spPr>
          <a:xfrm rot="16200000">
            <a:off x="5422317" y="2650429"/>
            <a:ext cx="497160" cy="6446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7" name="FormulaBraceLower">
            <a:extLst>
              <a:ext uri="{FF2B5EF4-FFF2-40B4-BE49-F238E27FC236}">
                <a16:creationId xmlns:a16="http://schemas.microsoft.com/office/drawing/2014/main" id="{9BCA2C0E-7101-41BF-ADB8-82304B7CF009}"/>
              </a:ext>
            </a:extLst>
          </xdr:cNvPr>
          <xdr:cNvSpPr/>
        </xdr:nvSpPr>
        <xdr:spPr>
          <a:xfrm rot="16200000">
            <a:off x="4584387" y="2800668"/>
            <a:ext cx="497160" cy="34412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138" name="FormulaBraceUpper">
            <a:extLst>
              <a:ext uri="{FF2B5EF4-FFF2-40B4-BE49-F238E27FC236}">
                <a16:creationId xmlns:a16="http://schemas.microsoft.com/office/drawing/2014/main" id="{DB0B9C93-8027-4F56-A17E-B56ECC2D8969}"/>
              </a:ext>
            </a:extLst>
          </xdr:cNvPr>
          <xdr:cNvSpPr/>
        </xdr:nvSpPr>
        <xdr:spPr>
          <a:xfrm rot="5400000">
            <a:off x="4939636" y="2201684"/>
            <a:ext cx="497161" cy="242887"/>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39" name="FormulaBraceUpper">
            <a:extLst>
              <a:ext uri="{FF2B5EF4-FFF2-40B4-BE49-F238E27FC236}">
                <a16:creationId xmlns:a16="http://schemas.microsoft.com/office/drawing/2014/main" id="{50351C48-F813-453E-A211-80A7D5397B0D}"/>
              </a:ext>
            </a:extLst>
          </xdr:cNvPr>
          <xdr:cNvSpPr/>
        </xdr:nvSpPr>
        <xdr:spPr>
          <a:xfrm rot="5400000">
            <a:off x="4181651" y="2161998"/>
            <a:ext cx="497162" cy="30701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140" name="txt_Formula" descr="=VLOOKUP(A1,B:C,2,FALSE)&#10;">
            <a:extLst>
              <a:ext uri="{FF2B5EF4-FFF2-40B4-BE49-F238E27FC236}">
                <a16:creationId xmlns:a16="http://schemas.microsoft.com/office/drawing/2014/main" id="{786BBFD9-F72E-4EA3-96E4-7C14F0A569CB}"/>
              </a:ext>
            </a:extLst>
          </xdr:cNvPr>
          <xdr:cNvSpPr txBox="1"/>
        </xdr:nvSpPr>
        <xdr:spPr>
          <a:xfrm>
            <a:off x="2943225" y="2476500"/>
            <a:ext cx="3729038" cy="5291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=RECHERCHEV(A1;B:C;2;FAUX)</a:t>
            </a:r>
            <a:endParaRPr lang="en-US" sz="2000">
              <a:effectLst/>
              <a:latin typeface="Times New Roman" panose="02020603050405020304" pitchFamily="18" charset="0"/>
              <a:ea typeface="Times New Roman" panose="02020603050405020304" pitchFamily="18" charset="0"/>
            </a:endParaRPr>
          </a:p>
        </xdr:txBody>
      </xdr:sp>
      <xdr:sp macro="" textlink="">
        <xdr:nvSpPr>
          <xdr:cNvPr id="141" name="txt_FormulaCalloutUpper" descr="What do you want to look for?&#10;&#10;">
            <a:extLst>
              <a:ext uri="{FF2B5EF4-FFF2-40B4-BE49-F238E27FC236}">
                <a16:creationId xmlns:a16="http://schemas.microsoft.com/office/drawing/2014/main" id="{6F5BDB75-1135-403E-AEFC-247F7625DDEB}"/>
              </a:ext>
            </a:extLst>
          </xdr:cNvPr>
          <xdr:cNvSpPr txBox="1">
            <a:spLocks noChangeArrowheads="1"/>
          </xdr:cNvSpPr>
        </xdr:nvSpPr>
        <xdr:spPr bwMode="auto">
          <a:xfrm>
            <a:off x="4000500" y="1476375"/>
            <a:ext cx="928688"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Que voulez-vous rechercher</a:t>
            </a:r>
          </a:p>
        </xdr:txBody>
      </xdr:sp>
      <xdr:sp macro="" textlink="">
        <xdr:nvSpPr>
          <xdr:cNvPr id="142" name="txt_FormulaCalloutUpper" descr="If you find it, how many columns to the right do you want to get a value?&#10;">
            <a:extLst>
              <a:ext uri="{FF2B5EF4-FFF2-40B4-BE49-F238E27FC236}">
                <a16:creationId xmlns:a16="http://schemas.microsoft.com/office/drawing/2014/main" id="{18D133B9-5AB0-40F3-B62C-4B60B0FDC556}"/>
              </a:ext>
            </a:extLst>
          </xdr:cNvPr>
          <xdr:cNvSpPr txBox="1">
            <a:spLocks noChangeArrowheads="1"/>
          </xdr:cNvSpPr>
        </xdr:nvSpPr>
        <xdr:spPr bwMode="auto">
          <a:xfrm>
            <a:off x="5062538" y="1476375"/>
            <a:ext cx="1643062" cy="723490"/>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Dans quelle</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colonne à droite de cette cellule cherchez-vous à le trouver (1ere, 2e, etc.)</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3" name="txt_FormulaCalloutLower" descr="Where do you want to look for it?&#10;">
            <a:extLst>
              <a:ext uri="{FF2B5EF4-FFF2-40B4-BE49-F238E27FC236}">
                <a16:creationId xmlns:a16="http://schemas.microsoft.com/office/drawing/2014/main" id="{7A0BF5A2-0462-4CFA-A98B-D5D3A7DC336D}"/>
              </a:ext>
            </a:extLst>
          </xdr:cNvPr>
          <xdr:cNvSpPr txBox="1">
            <a:spLocks noChangeArrowheads="1"/>
          </xdr:cNvSpPr>
        </xdr:nvSpPr>
        <xdr:spPr bwMode="auto">
          <a:xfrm>
            <a:off x="4169837" y="3135630"/>
            <a:ext cx="960438"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Dans quelles cellules vous recherchez</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cette valeur</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144" name="txt_FormulaCalloutLower" descr="Do you want an exact, or approximate match?&#10;">
            <a:extLst>
              <a:ext uri="{FF2B5EF4-FFF2-40B4-BE49-F238E27FC236}">
                <a16:creationId xmlns:a16="http://schemas.microsoft.com/office/drawing/2014/main" id="{B53691DA-0A76-4040-8DEE-B27DBF05FE8C}"/>
              </a:ext>
            </a:extLst>
          </xdr:cNvPr>
          <xdr:cNvSpPr txBox="1">
            <a:spLocks noChangeArrowheads="1"/>
          </xdr:cNvSpPr>
        </xdr:nvSpPr>
        <xdr:spPr bwMode="auto">
          <a:xfrm>
            <a:off x="5250925" y="3135630"/>
            <a:ext cx="1155925" cy="894941"/>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Voulez-vous une correspondance exacte (VRAI) ou approximative (FAUX)?</a:t>
            </a:r>
          </a:p>
          <a:p>
            <a:pPr marL="0" marR="0" indent="0">
              <a:lnSpc>
                <a:spcPct val="107000"/>
              </a:lnSpc>
              <a:spcBef>
                <a:spcPts val="0"/>
              </a:spcBef>
              <a:spcAft>
                <a:spcPts val="800"/>
              </a:spcAft>
            </a:pP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grpSp>
    <xdr:clientData/>
  </xdr:twoCellAnchor>
  <xdr:twoCellAnchor>
    <xdr:from>
      <xdr:col>2</xdr:col>
      <xdr:colOff>896859</xdr:colOff>
      <xdr:row>22</xdr:row>
      <xdr:rowOff>66674</xdr:rowOff>
    </xdr:from>
    <xdr:to>
      <xdr:col>8</xdr:col>
      <xdr:colOff>469388</xdr:colOff>
      <xdr:row>28</xdr:row>
      <xdr:rowOff>146779</xdr:rowOff>
    </xdr:to>
    <xdr:grpSp>
      <xdr:nvGrpSpPr>
        <xdr:cNvPr id="4" name="Group 3">
          <a:extLst>
            <a:ext uri="{FF2B5EF4-FFF2-40B4-BE49-F238E27FC236}">
              <a16:creationId xmlns:a16="http://schemas.microsoft.com/office/drawing/2014/main" id="{089FFE6E-D9A5-469F-8731-5F616E56C80F}"/>
            </a:ext>
          </a:extLst>
        </xdr:cNvPr>
        <xdr:cNvGrpSpPr/>
      </xdr:nvGrpSpPr>
      <xdr:grpSpPr>
        <a:xfrm>
          <a:off x="7450059" y="4829174"/>
          <a:ext cx="3999749" cy="1223105"/>
          <a:chOff x="7726284" y="4829174"/>
          <a:chExt cx="4158817" cy="1223105"/>
        </a:xfrm>
      </xdr:grpSpPr>
      <xdr:grpSp>
        <xdr:nvGrpSpPr>
          <xdr:cNvPr id="108" name="Group 107">
            <a:extLst>
              <a:ext uri="{FF2B5EF4-FFF2-40B4-BE49-F238E27FC236}">
                <a16:creationId xmlns:a16="http://schemas.microsoft.com/office/drawing/2014/main" id="{03EFBC7C-34AE-450B-A955-411C63A44A84}"/>
              </a:ext>
            </a:extLst>
          </xdr:cNvPr>
          <xdr:cNvGrpSpPr/>
        </xdr:nvGrpSpPr>
        <xdr:grpSpPr>
          <a:xfrm>
            <a:off x="7726284" y="5104177"/>
            <a:ext cx="4158817" cy="948102"/>
            <a:chOff x="6370551" y="2394314"/>
            <a:chExt cx="3243106" cy="948102"/>
          </a:xfrm>
        </xdr:grpSpPr>
        <xdr:sp macro="" textlink="">
          <xdr:nvSpPr>
            <xdr:cNvPr id="109" name="Step" descr="EXPERIMENT&#10;Try selecting different items from the drop down lists. You'll see the result cells instantly update themselves with new values.&#10;">
              <a:extLst>
                <a:ext uri="{FF2B5EF4-FFF2-40B4-BE49-F238E27FC236}">
                  <a16:creationId xmlns:a16="http://schemas.microsoft.com/office/drawing/2014/main" id="{F058B804-367A-4D12-BA59-0970AFE733A6}"/>
                </a:ext>
              </a:extLst>
            </xdr:cNvPr>
            <xdr:cNvSpPr txBox="1"/>
          </xdr:nvSpPr>
          <xdr:spPr>
            <a:xfrm>
              <a:off x="6570375" y="2394314"/>
              <a:ext cx="3043282"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EXPERIMENT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Try selecting</a:t>
              </a:r>
              <a:r>
                <a:rPr lang="en-US" sz="1100" kern="0" baseline="0">
                  <a:solidFill>
                    <a:schemeClr val="bg2">
                      <a:lumMod val="25000"/>
                    </a:schemeClr>
                  </a:solidFill>
                  <a:latin typeface="+mn-lt"/>
                  <a:ea typeface="Segoe UI" pitchFamily="34" charset="0"/>
                  <a:cs typeface="Segoe UI Light" panose="020B0502040204020203" pitchFamily="34" charset="0"/>
                </a:rPr>
                <a:t> different items from the drop down lists. You'll see the result cells instantly update themselves with new values.</a:t>
              </a:r>
              <a:endParaRPr lang="en-US" sz="1100" kern="0">
                <a:solidFill>
                  <a:schemeClr val="bg2">
                    <a:lumMod val="25000"/>
                  </a:schemeClr>
                </a:solidFill>
                <a:latin typeface="+mn-lt"/>
                <a:ea typeface="Segoe UI" pitchFamily="34" charset="0"/>
                <a:cs typeface="Segoe UI Light" panose="020B0502040204020203" pitchFamily="34" charset="0"/>
              </a:endParaRPr>
            </a:p>
          </xdr:txBody>
        </xdr:sp>
        <xdr:pic>
          <xdr:nvPicPr>
            <xdr:cNvPr id="111" name="Graphic 96" descr="Flask">
              <a:extLst>
                <a:ext uri="{FF2B5EF4-FFF2-40B4-BE49-F238E27FC236}">
                  <a16:creationId xmlns:a16="http://schemas.microsoft.com/office/drawing/2014/main" id="{567F3C53-03B1-43F2-BB49-70742F30BE0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370551" y="2499089"/>
              <a:ext cx="331088" cy="368300"/>
            </a:xfrm>
            <a:prstGeom prst="rect">
              <a:avLst/>
            </a:prstGeom>
          </xdr:spPr>
        </xdr:pic>
      </xdr:grpSp>
      <xdr:sp macro="" textlink="">
        <xdr:nvSpPr>
          <xdr:cNvPr id="71" name="FormulaBraceLower">
            <a:extLst>
              <a:ext uri="{FF2B5EF4-FFF2-40B4-BE49-F238E27FC236}">
                <a16:creationId xmlns:a16="http://schemas.microsoft.com/office/drawing/2014/main" id="{7B63C257-0957-4E3A-BE00-93BDA82D9D53}"/>
              </a:ext>
            </a:extLst>
          </xdr:cNvPr>
          <xdr:cNvSpPr/>
        </xdr:nvSpPr>
        <xdr:spPr>
          <a:xfrm rot="16200000">
            <a:off x="8139115" y="4491036"/>
            <a:ext cx="219076" cy="895352"/>
          </a:xfrm>
          <a:prstGeom prst="leftBrace">
            <a:avLst/>
          </a:prstGeom>
          <a:ln w="12700">
            <a:solidFill>
              <a:srgbClr val="F4B183"/>
            </a:solidFill>
          </a:ln>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grpSp>
    <xdr:clientData/>
  </xdr:twoCellAnchor>
</xdr:wsDr>
</file>

<file path=xl/drawings/drawing10.xml><?xml version="1.0" encoding="utf-8"?>
<xdr:wsDr xmlns:xdr="http://schemas.openxmlformats.org/drawingml/2006/spreadsheetDrawing" xmlns:a="http://schemas.openxmlformats.org/drawingml/2006/main">
  <xdr:twoCellAnchor>
    <xdr:from>
      <xdr:col>12</xdr:col>
      <xdr:colOff>79528</xdr:colOff>
      <xdr:row>92</xdr:row>
      <xdr:rowOff>38101</xdr:rowOff>
    </xdr:from>
    <xdr:to>
      <xdr:col>20</xdr:col>
      <xdr:colOff>164645</xdr:colOff>
      <xdr:row>95</xdr:row>
      <xdr:rowOff>22201</xdr:rowOff>
    </xdr:to>
    <xdr:sp macro="" textlink="">
      <xdr:nvSpPr>
        <xdr:cNvPr id="8" name="Step" descr="Type =SUM(D4:D7), and then press enter. When you're done, you'll see the result of 170">
          <a:extLst>
            <a:ext uri="{FF2B5EF4-FFF2-40B4-BE49-F238E27FC236}">
              <a16:creationId xmlns:a16="http://schemas.microsoft.com/office/drawing/2014/main" id="{8F26A0BE-2507-40C1-88A3-4D85E7F8E095}"/>
            </a:ext>
          </a:extLst>
        </xdr:cNvPr>
        <xdr:cNvSpPr txBox="1"/>
      </xdr:nvSpPr>
      <xdr:spPr>
        <a:xfrm>
          <a:off x="13614553" y="18211801"/>
          <a:ext cx="4809517" cy="5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endPar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19</xdr:col>
      <xdr:colOff>413385</xdr:colOff>
      <xdr:row>75</xdr:row>
      <xdr:rowOff>38100</xdr:rowOff>
    </xdr:from>
    <xdr:to>
      <xdr:col>34</xdr:col>
      <xdr:colOff>156210</xdr:colOff>
      <xdr:row>84</xdr:row>
      <xdr:rowOff>172910</xdr:rowOff>
    </xdr:to>
    <xdr:grpSp>
      <xdr:nvGrpSpPr>
        <xdr:cNvPr id="88" name="GOOD TO KNOW"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22FED87C-334E-45C5-A4CC-FBD0B802BEDC}"/>
            </a:ext>
          </a:extLst>
        </xdr:cNvPr>
        <xdr:cNvGrpSpPr/>
      </xdr:nvGrpSpPr>
      <xdr:grpSpPr>
        <a:xfrm>
          <a:off x="19448145" y="14622780"/>
          <a:ext cx="3400425" cy="1780730"/>
          <a:chOff x="6778625" y="15514765"/>
          <a:chExt cx="3432175" cy="1776285"/>
        </a:xfrm>
      </xdr:grpSpPr>
      <xdr:sp macro="" textlink="">
        <xdr:nvSpPr>
          <xdr:cNvPr id="92" name="Step" descr="GOOD TO KNOW&#10;Double-click this cell and you'll see that the formula is different. Specifically, the sum criteria is &quot;&gt;=50&quot; which means greater than or equal to 50. There are other operators you can use like &quot;&lt;=50&quot; which is less than or equal to 50. And there's &quot;&lt;&gt;50&quot; which is not equals 50&#10;">
            <a:extLst>
              <a:ext uri="{FF2B5EF4-FFF2-40B4-BE49-F238E27FC236}">
                <a16:creationId xmlns:a16="http://schemas.microsoft.com/office/drawing/2014/main" id="{80FDEA48-605A-47F3-959F-C6A1DA9817BC}"/>
              </a:ext>
            </a:extLst>
          </xdr:cNvPr>
          <xdr:cNvSpPr txBox="1"/>
        </xdr:nvSpPr>
        <xdr:spPr>
          <a:xfrm>
            <a:off x="7042958" y="15665450"/>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GOOD TO KNOW</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Double-click this cell and you'll see that the formula is different. Specifically, the sum criteria is "&gt;=50" which means greater than or equal to 50. There are other operators you can use like "&lt;=50" which is </a:t>
            </a:r>
            <a:r>
              <a:rPr lang="en-US" sz="1100" b="0" i="1" kern="1200" baseline="0">
                <a:solidFill>
                  <a:schemeClr val="dk1"/>
                </a:solidFill>
                <a:effectLst/>
                <a:latin typeface="+mn-lt"/>
                <a:ea typeface="+mn-ea"/>
                <a:cs typeface="+mn-cs"/>
              </a:rPr>
              <a:t>less than or equal to 50</a:t>
            </a:r>
            <a:r>
              <a:rPr lang="en-US" sz="1100" b="0" i="0" kern="1200" baseline="0">
                <a:solidFill>
                  <a:schemeClr val="dk1"/>
                </a:solidFill>
                <a:effectLst/>
                <a:latin typeface="+mn-lt"/>
                <a:ea typeface="+mn-ea"/>
                <a:cs typeface="+mn-cs"/>
              </a:rPr>
              <a:t>. And there's "&lt;&gt;50" which is </a:t>
            </a:r>
            <a:r>
              <a:rPr lang="en-US" sz="1100" b="0" i="1" kern="1200" baseline="0">
                <a:solidFill>
                  <a:schemeClr val="dk1"/>
                </a:solidFill>
                <a:effectLst/>
                <a:latin typeface="+mn-lt"/>
                <a:ea typeface="+mn-ea"/>
                <a:cs typeface="+mn-cs"/>
              </a:rPr>
              <a:t>not equals 50</a:t>
            </a:r>
            <a:r>
              <a:rPr lang="en-US" sz="1100" b="0" i="0" kern="1200" baseline="0">
                <a:solidFill>
                  <a:schemeClr val="dk1"/>
                </a:solidFill>
                <a:effectLst/>
                <a:latin typeface="+mn-lt"/>
                <a:ea typeface="+mn-ea"/>
                <a:cs typeface="+mn-cs"/>
              </a:rPr>
              <a:t>. </a:t>
            </a:r>
            <a:endParaRPr lang="en-US" sz="1100">
              <a:effectLst/>
              <a:latin typeface="+mn-lt"/>
            </a:endParaRPr>
          </a:p>
        </xdr:txBody>
      </xdr:sp>
      <xdr:pic>
        <xdr:nvPicPr>
          <xdr:cNvPr id="93" name="Graphic 147" descr="Glasses">
            <a:extLst>
              <a:ext uri="{FF2B5EF4-FFF2-40B4-BE49-F238E27FC236}">
                <a16:creationId xmlns:a16="http://schemas.microsoft.com/office/drawing/2014/main" id="{003F6226-FC02-4E5E-9211-9DFEF51A3D9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778625" y="15665450"/>
            <a:ext cx="323347" cy="349115"/>
          </a:xfrm>
          <a:prstGeom prst="rect">
            <a:avLst/>
          </a:prstGeom>
        </xdr:spPr>
      </xdr:pic>
      <xdr:sp macro="" textlink="">
        <xdr:nvSpPr>
          <xdr:cNvPr id="94" name="Freeform: Shape 93" descr="Arrrow">
            <a:extLst>
              <a:ext uri="{FF2B5EF4-FFF2-40B4-BE49-F238E27FC236}">
                <a16:creationId xmlns:a16="http://schemas.microsoft.com/office/drawing/2014/main" id="{15104F1B-103C-46F0-AEAD-84159160100C}"/>
              </a:ext>
            </a:extLst>
          </xdr:cNvPr>
          <xdr:cNvSpPr/>
        </xdr:nvSpPr>
        <xdr:spPr>
          <a:xfrm rot="5953034" flipV="1">
            <a:off x="8741246" y="15054464"/>
            <a:ext cx="284005" cy="1204607"/>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352424</xdr:colOff>
      <xdr:row>131</xdr:row>
      <xdr:rowOff>28576</xdr:rowOff>
    </xdr:from>
    <xdr:to>
      <xdr:col>1</xdr:col>
      <xdr:colOff>5229224</xdr:colOff>
      <xdr:row>151</xdr:row>
      <xdr:rowOff>141741</xdr:rowOff>
    </xdr:to>
    <xdr:grpSp>
      <xdr:nvGrpSpPr>
        <xdr:cNvPr id="2" name="Group 1">
          <a:extLst>
            <a:ext uri="{FF2B5EF4-FFF2-40B4-BE49-F238E27FC236}">
              <a16:creationId xmlns:a16="http://schemas.microsoft.com/office/drawing/2014/main" id="{F31110CC-1652-426F-8A11-3D24DC9CD3D1}"/>
            </a:ext>
          </a:extLst>
        </xdr:cNvPr>
        <xdr:cNvGrpSpPr/>
      </xdr:nvGrpSpPr>
      <xdr:grpSpPr>
        <a:xfrm>
          <a:off x="352424" y="24984076"/>
          <a:ext cx="5745480" cy="3770765"/>
          <a:chOff x="447674" y="25631776"/>
          <a:chExt cx="5724525" cy="3762374"/>
        </a:xfrm>
      </xdr:grpSpPr>
      <xdr:sp macro="" textlink="">
        <xdr:nvSpPr>
          <xdr:cNvPr id="152" name="Rectangle 151">
            <a:extLst>
              <a:ext uri="{FF2B5EF4-FFF2-40B4-BE49-F238E27FC236}">
                <a16:creationId xmlns:a16="http://schemas.microsoft.com/office/drawing/2014/main" id="{54D87238-E746-4C47-ABBA-E10A64262FCE}"/>
              </a:ext>
            </a:extLst>
          </xdr:cNvPr>
          <xdr:cNvSpPr/>
        </xdr:nvSpPr>
        <xdr:spPr>
          <a:xfrm>
            <a:off x="447674" y="25631776"/>
            <a:ext cx="5724525" cy="3762374"/>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155" name="Step" descr="More information on the web&#10;">
            <a:extLst>
              <a:ext uri="{FF2B5EF4-FFF2-40B4-BE49-F238E27FC236}">
                <a16:creationId xmlns:a16="http://schemas.microsoft.com/office/drawing/2014/main" id="{E4E79A32-97A9-47B0-87C7-3090F1C4978F}"/>
              </a:ext>
            </a:extLst>
          </xdr:cNvPr>
          <xdr:cNvSpPr txBox="1"/>
        </xdr:nvSpPr>
        <xdr:spPr>
          <a:xfrm>
            <a:off x="659860" y="25748461"/>
            <a:ext cx="5246187" cy="463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158" name="Straight Connector 157" descr="Decorative line">
            <a:extLst>
              <a:ext uri="{FF2B5EF4-FFF2-40B4-BE49-F238E27FC236}">
                <a16:creationId xmlns:a16="http://schemas.microsoft.com/office/drawing/2014/main" id="{C1DC7374-254A-47B0-91EF-5014A7B4001F}"/>
              </a:ext>
            </a:extLst>
          </xdr:cNvPr>
          <xdr:cNvCxnSpPr>
            <a:cxnSpLocks/>
          </xdr:cNvCxnSpPr>
        </xdr:nvCxnSpPr>
        <xdr:spPr>
          <a:xfrm>
            <a:off x="663028" y="26228550"/>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164" name="Straight Connector 163" descr="Decorative line">
            <a:extLst>
              <a:ext uri="{FF2B5EF4-FFF2-40B4-BE49-F238E27FC236}">
                <a16:creationId xmlns:a16="http://schemas.microsoft.com/office/drawing/2014/main" id="{86A13197-B0BB-44E6-87AB-432D5098D000}"/>
              </a:ext>
            </a:extLst>
          </xdr:cNvPr>
          <xdr:cNvCxnSpPr>
            <a:cxnSpLocks/>
          </xdr:cNvCxnSpPr>
        </xdr:nvCxnSpPr>
        <xdr:spPr>
          <a:xfrm>
            <a:off x="663028" y="28602975"/>
            <a:ext cx="5243020"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0</xdr:col>
      <xdr:colOff>297180</xdr:colOff>
      <xdr:row>0</xdr:row>
      <xdr:rowOff>352425</xdr:rowOff>
    </xdr:from>
    <xdr:to>
      <xdr:col>1</xdr:col>
      <xdr:colOff>6431280</xdr:colOff>
      <xdr:row>45</xdr:row>
      <xdr:rowOff>0</xdr:rowOff>
    </xdr:to>
    <xdr:sp macro="" textlink="">
      <xdr:nvSpPr>
        <xdr:cNvPr id="168" name="Background" descr="Background">
          <a:extLst>
            <a:ext uri="{FF2B5EF4-FFF2-40B4-BE49-F238E27FC236}">
              <a16:creationId xmlns:a16="http://schemas.microsoft.com/office/drawing/2014/main" id="{E6C939DA-20FC-4617-9AC0-0E0FD53C0BBC}"/>
            </a:ext>
          </a:extLst>
        </xdr:cNvPr>
        <xdr:cNvSpPr/>
      </xdr:nvSpPr>
      <xdr:spPr>
        <a:xfrm>
          <a:off x="297180" y="352425"/>
          <a:ext cx="7002780" cy="87153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517221</xdr:colOff>
      <xdr:row>1</xdr:row>
      <xdr:rowOff>150495</xdr:rowOff>
    </xdr:from>
    <xdr:to>
      <xdr:col>1</xdr:col>
      <xdr:colOff>4917744</xdr:colOff>
      <xdr:row>1</xdr:row>
      <xdr:rowOff>150495</xdr:rowOff>
    </xdr:to>
    <xdr:cxnSp macro="">
      <xdr:nvCxnSpPr>
        <xdr:cNvPr id="169" name="Bottom line" descr="Decorative line">
          <a:extLst>
            <a:ext uri="{FF2B5EF4-FFF2-40B4-BE49-F238E27FC236}">
              <a16:creationId xmlns:a16="http://schemas.microsoft.com/office/drawing/2014/main" id="{A5862B64-F553-4E4F-B5B8-0DE209AA7E25}"/>
            </a:ext>
          </a:extLst>
        </xdr:cNvPr>
        <xdr:cNvCxnSpPr>
          <a:cxnSpLocks/>
        </xdr:cNvCxnSpPr>
      </xdr:nvCxnSpPr>
      <xdr:spPr>
        <a:xfrm>
          <a:off x="517221" y="912495"/>
          <a:ext cx="526920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0</xdr:row>
      <xdr:rowOff>447675</xdr:rowOff>
    </xdr:from>
    <xdr:to>
      <xdr:col>1</xdr:col>
      <xdr:colOff>4951420</xdr:colOff>
      <xdr:row>1</xdr:row>
      <xdr:rowOff>171517</xdr:rowOff>
    </xdr:to>
    <xdr:sp macro="" textlink="">
      <xdr:nvSpPr>
        <xdr:cNvPr id="170" name="Step" descr="Conditional functions - SUMIF&#10;">
          <a:extLst>
            <a:ext uri="{FF2B5EF4-FFF2-40B4-BE49-F238E27FC236}">
              <a16:creationId xmlns:a16="http://schemas.microsoft.com/office/drawing/2014/main" id="{317D1451-8BD0-4C45-8A01-4F1AD711CF9A}"/>
            </a:ext>
          </a:extLst>
        </xdr:cNvPr>
        <xdr:cNvSpPr txBox="1"/>
      </xdr:nvSpPr>
      <xdr:spPr>
        <a:xfrm>
          <a:off x="547701" y="447675"/>
          <a:ext cx="5251444" cy="4858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Fonctions conditionnelles - SOMME.SI</a:t>
          </a:r>
        </a:p>
      </xdr:txBody>
    </xdr:sp>
    <xdr:clientData/>
  </xdr:twoCellAnchor>
  <xdr:twoCellAnchor editAs="absolute">
    <xdr:from>
      <xdr:col>0</xdr:col>
      <xdr:colOff>547701</xdr:colOff>
      <xdr:row>40</xdr:row>
      <xdr:rowOff>173567</xdr:rowOff>
    </xdr:from>
    <xdr:to>
      <xdr:col>1</xdr:col>
      <xdr:colOff>4948224</xdr:colOff>
      <xdr:row>40</xdr:row>
      <xdr:rowOff>173567</xdr:rowOff>
    </xdr:to>
    <xdr:cxnSp macro="">
      <xdr:nvCxnSpPr>
        <xdr:cNvPr id="171" name="Bottom line" descr="Decorative line">
          <a:extLst>
            <a:ext uri="{FF2B5EF4-FFF2-40B4-BE49-F238E27FC236}">
              <a16:creationId xmlns:a16="http://schemas.microsoft.com/office/drawing/2014/main" id="{CDE7F952-1938-4D52-9DF8-081F00B24DBB}"/>
            </a:ext>
          </a:extLst>
        </xdr:cNvPr>
        <xdr:cNvCxnSpPr>
          <a:cxnSpLocks/>
        </xdr:cNvCxnSpPr>
      </xdr:nvCxnSpPr>
      <xdr:spPr>
        <a:xfrm>
          <a:off x="547701" y="8365067"/>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556260</xdr:colOff>
      <xdr:row>1</xdr:row>
      <xdr:rowOff>140970</xdr:rowOff>
    </xdr:from>
    <xdr:to>
      <xdr:col>1</xdr:col>
      <xdr:colOff>5009473</xdr:colOff>
      <xdr:row>3</xdr:row>
      <xdr:rowOff>10142</xdr:rowOff>
    </xdr:to>
    <xdr:sp macro="" textlink="">
      <xdr:nvSpPr>
        <xdr:cNvPr id="172" name="Add numbers introduction" descr="Conditional functions let you sum, average, count or get the min and max of a range based on a given condition, or criteria you specify. Such as, out of all the fruits in the list, how many are apples. Or, how many oranges are the Florida type?&#10;">
          <a:extLst>
            <a:ext uri="{FF2B5EF4-FFF2-40B4-BE49-F238E27FC236}">
              <a16:creationId xmlns:a16="http://schemas.microsoft.com/office/drawing/2014/main" id="{9A24D79D-F087-4F19-ACAE-4CAC391FF978}"/>
            </a:ext>
          </a:extLst>
        </xdr:cNvPr>
        <xdr:cNvSpPr txBox="1"/>
      </xdr:nvSpPr>
      <xdr:spPr>
        <a:xfrm>
          <a:off x="556260" y="902970"/>
          <a:ext cx="5321893" cy="250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kern="1200">
              <a:solidFill>
                <a:schemeClr val="dk1"/>
              </a:solidFill>
              <a:latin typeface="Segoe UI" panose="020B0502040204020203" pitchFamily="34" charset="0"/>
              <a:ea typeface="+mn-ea"/>
              <a:cs typeface="Segoe UI" panose="020B0502040204020203" pitchFamily="34" charset="0"/>
            </a:rPr>
            <a:t>Les fonctions conditionnelles vous permettent d’additionner, de faire la moyenne, de compter ou d’obtenir le minimum ou le maximum d’une plage en fonction d’une condition donnée ou de critères que vous spécifiez. Par exemple, sur tous les fruits de la liste, combien sont des pommes ? Ou, combien d’oranges sont du type Florida ?</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523597</xdr:colOff>
      <xdr:row>5</xdr:row>
      <xdr:rowOff>167688</xdr:rowOff>
    </xdr:from>
    <xdr:to>
      <xdr:col>1</xdr:col>
      <xdr:colOff>4899839</xdr:colOff>
      <xdr:row>8</xdr:row>
      <xdr:rowOff>150437</xdr:rowOff>
    </xdr:to>
    <xdr:grpSp>
      <xdr:nvGrpSpPr>
        <xdr:cNvPr id="5" name="Group 4">
          <a:extLst>
            <a:ext uri="{FF2B5EF4-FFF2-40B4-BE49-F238E27FC236}">
              <a16:creationId xmlns:a16="http://schemas.microsoft.com/office/drawing/2014/main" id="{8A59968F-9E53-4DA4-A0EC-0D567AB08F0D}"/>
            </a:ext>
          </a:extLst>
        </xdr:cNvPr>
        <xdr:cNvGrpSpPr/>
      </xdr:nvGrpSpPr>
      <xdr:grpSpPr>
        <a:xfrm>
          <a:off x="523597" y="1691688"/>
          <a:ext cx="5244922" cy="554249"/>
          <a:chOff x="571500" y="1691688"/>
          <a:chExt cx="5214475" cy="554249"/>
        </a:xfrm>
      </xdr:grpSpPr>
      <xdr:sp macro="" textlink="">
        <xdr:nvSpPr>
          <xdr:cNvPr id="174" name="txt_Step" descr="SUMIF lets you sum in one range based on a specifc criteria you look for in another range, like how many Apples you have. Select cell D17 and type =SUMIF(C3:C14,C17,D3:D14). SUMIF is structured like this:&#10;">
            <a:extLst>
              <a:ext uri="{FF2B5EF4-FFF2-40B4-BE49-F238E27FC236}">
                <a16:creationId xmlns:a16="http://schemas.microsoft.com/office/drawing/2014/main" id="{2D2520E8-CC78-428A-A2A1-03FB76DC9AF2}"/>
              </a:ext>
            </a:extLst>
          </xdr:cNvPr>
          <xdr:cNvSpPr txBox="1"/>
        </xdr:nvSpPr>
        <xdr:spPr>
          <a:xfrm>
            <a:off x="976231" y="169168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SOMME.SI</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vous permet d’additionner une plage en fonction d’un critère spécifique que vous recherchez dans une autre plage, comme le nombre de pommes que vous avez. Sélectionnez la cellule D17 et tapez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=SOMME.SI(C3:C14;C17;D3:D14)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SOMME.SI est structuré comme suit :</a:t>
            </a:r>
          </a:p>
        </xdr:txBody>
      </xdr:sp>
      <xdr:sp macro="" textlink="">
        <xdr:nvSpPr>
          <xdr:cNvPr id="175" name="shp_Step" descr="1">
            <a:extLst>
              <a:ext uri="{FF2B5EF4-FFF2-40B4-BE49-F238E27FC236}">
                <a16:creationId xmlns:a16="http://schemas.microsoft.com/office/drawing/2014/main" id="{DDA35D30-C9B0-4579-BCA5-F2ECE76A935E}"/>
              </a:ext>
            </a:extLst>
          </xdr:cNvPr>
          <xdr:cNvSpPr/>
        </xdr:nvSpPr>
        <xdr:spPr>
          <a:xfrm>
            <a:off x="571500" y="17716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3743326</xdr:colOff>
      <xdr:row>41</xdr:row>
      <xdr:rowOff>125941</xdr:rowOff>
    </xdr:from>
    <xdr:to>
      <xdr:col>1</xdr:col>
      <xdr:colOff>4887529</xdr:colOff>
      <xdr:row>43</xdr:row>
      <xdr:rowOff>102540</xdr:rowOff>
    </xdr:to>
    <xdr:sp macro="" textlink="">
      <xdr:nvSpPr>
        <xdr:cNvPr id="176"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A7F57915-4D95-47B4-A488-FB7E3D0BBF97}"/>
            </a:ext>
          </a:extLst>
        </xdr:cNvPr>
        <xdr:cNvSpPr/>
      </xdr:nvSpPr>
      <xdr:spPr>
        <a:xfrm>
          <a:off x="4591051" y="8507941"/>
          <a:ext cx="1144203" cy="35759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Suivant</a:t>
          </a:r>
        </a:p>
      </xdr:txBody>
    </xdr:sp>
    <xdr:clientData/>
  </xdr:twoCellAnchor>
  <xdr:twoCellAnchor editAs="absolute">
    <xdr:from>
      <xdr:col>1</xdr:col>
      <xdr:colOff>957134</xdr:colOff>
      <xdr:row>148</xdr:row>
      <xdr:rowOff>11076</xdr:rowOff>
    </xdr:from>
    <xdr:to>
      <xdr:col>1</xdr:col>
      <xdr:colOff>3715357</xdr:colOff>
      <xdr:row>150</xdr:row>
      <xdr:rowOff>176739</xdr:rowOff>
    </xdr:to>
    <xdr:sp macro="" textlink="">
      <xdr:nvSpPr>
        <xdr:cNvPr id="177" name="Next Button" descr="Back to top, hyperlinked to cell A1">
          <a:hlinkClick xmlns:r="http://schemas.openxmlformats.org/officeDocument/2006/relationships" r:id="rId4" tooltip="Back to top"/>
          <a:extLst>
            <a:ext uri="{FF2B5EF4-FFF2-40B4-BE49-F238E27FC236}">
              <a16:creationId xmlns:a16="http://schemas.microsoft.com/office/drawing/2014/main" id="{F1F17ADA-3374-4672-8F57-B7354AE50F61}"/>
            </a:ext>
          </a:extLst>
        </xdr:cNvPr>
        <xdr:cNvSpPr/>
      </xdr:nvSpPr>
      <xdr:spPr>
        <a:xfrm>
          <a:off x="1804859" y="28852776"/>
          <a:ext cx="2758223" cy="546663"/>
        </a:xfrm>
        <a:prstGeom prst="up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Back to top</a:t>
          </a:r>
        </a:p>
      </xdr:txBody>
    </xdr:sp>
    <xdr:clientData/>
  </xdr:twoCellAnchor>
  <xdr:twoCellAnchor editAs="absolute">
    <xdr:from>
      <xdr:col>1</xdr:col>
      <xdr:colOff>2875440</xdr:colOff>
      <xdr:row>144</xdr:row>
      <xdr:rowOff>85458</xdr:rowOff>
    </xdr:from>
    <xdr:to>
      <xdr:col>1</xdr:col>
      <xdr:colOff>4743247</xdr:colOff>
      <xdr:row>146</xdr:row>
      <xdr:rowOff>14816</xdr:rowOff>
    </xdr:to>
    <xdr:sp macro="" textlink="">
      <xdr:nvSpPr>
        <xdr:cNvPr id="179" name="Step" descr="Free Excel training online, hyperlinked to web&#10;">
          <a:hlinkClick xmlns:r="http://schemas.openxmlformats.org/officeDocument/2006/relationships" r:id="rId5" tooltip="Select to learn about free Excel training on the web"/>
          <a:extLst>
            <a:ext uri="{FF2B5EF4-FFF2-40B4-BE49-F238E27FC236}">
              <a16:creationId xmlns:a16="http://schemas.microsoft.com/office/drawing/2014/main" id="{8052CE9F-9F0B-4E5C-BCC9-9FAF4B271CC6}"/>
            </a:ext>
          </a:extLst>
        </xdr:cNvPr>
        <xdr:cNvSpPr txBox="1"/>
      </xdr:nvSpPr>
      <xdr:spPr>
        <a:xfrm>
          <a:off x="3723165" y="28165158"/>
          <a:ext cx="1867807" cy="310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clientData/>
  </xdr:twoCellAnchor>
  <xdr:twoCellAnchor editAs="absolute">
    <xdr:from>
      <xdr:col>1</xdr:col>
      <xdr:colOff>2410256</xdr:colOff>
      <xdr:row>144</xdr:row>
      <xdr:rowOff>13221</xdr:rowOff>
    </xdr:from>
    <xdr:to>
      <xdr:col>1</xdr:col>
      <xdr:colOff>2904988</xdr:colOff>
      <xdr:row>146</xdr:row>
      <xdr:rowOff>87053</xdr:rowOff>
    </xdr:to>
    <xdr:pic>
      <xdr:nvPicPr>
        <xdr:cNvPr id="180" name="Graphic 22" descr="Arrow">
          <a:hlinkClick xmlns:r="http://schemas.openxmlformats.org/officeDocument/2006/relationships" r:id="rId5" tooltip="Select to learn more from the web"/>
          <a:extLst>
            <a:ext uri="{FF2B5EF4-FFF2-40B4-BE49-F238E27FC236}">
              <a16:creationId xmlns:a16="http://schemas.microsoft.com/office/drawing/2014/main" id="{55352AF2-EDC1-4D5D-8D55-283766F199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8092921"/>
          <a:ext cx="494732" cy="454832"/>
        </a:xfrm>
        <a:prstGeom prst="rect">
          <a:avLst/>
        </a:prstGeom>
      </xdr:spPr>
    </xdr:pic>
    <xdr:clientData/>
  </xdr:twoCellAnchor>
  <xdr:twoCellAnchor editAs="absolute">
    <xdr:from>
      <xdr:col>1</xdr:col>
      <xdr:colOff>2875441</xdr:colOff>
      <xdr:row>142</xdr:row>
      <xdr:rowOff>18655</xdr:rowOff>
    </xdr:from>
    <xdr:to>
      <xdr:col>1</xdr:col>
      <xdr:colOff>5145305</xdr:colOff>
      <xdr:row>143</xdr:row>
      <xdr:rowOff>145141</xdr:rowOff>
    </xdr:to>
    <xdr:sp macro="" textlink="">
      <xdr:nvSpPr>
        <xdr:cNvPr id="181" name="Step" descr="All about the MAXIFS function, Hyperlinked to web&#10;&#10;">
          <a:hlinkClick xmlns:r="http://schemas.openxmlformats.org/officeDocument/2006/relationships" r:id="rId8" tooltip="Select to learn all about the MAXIFS function on the web"/>
          <a:extLst>
            <a:ext uri="{FF2B5EF4-FFF2-40B4-BE49-F238E27FC236}">
              <a16:creationId xmlns:a16="http://schemas.microsoft.com/office/drawing/2014/main" id="{3FFDC6A0-9831-442E-AB6B-F06D71AAAD14}"/>
            </a:ext>
          </a:extLst>
        </xdr:cNvPr>
        <xdr:cNvSpPr txBox="1"/>
      </xdr:nvSpPr>
      <xdr:spPr>
        <a:xfrm>
          <a:off x="3723166" y="27717355"/>
          <a:ext cx="226986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MAXIFS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141</xdr:row>
      <xdr:rowOff>143546</xdr:rowOff>
    </xdr:from>
    <xdr:to>
      <xdr:col>1</xdr:col>
      <xdr:colOff>2904988</xdr:colOff>
      <xdr:row>144</xdr:row>
      <xdr:rowOff>20250</xdr:rowOff>
    </xdr:to>
    <xdr:pic>
      <xdr:nvPicPr>
        <xdr:cNvPr id="182" name="Graphic 22" descr="Arrow">
          <a:hlinkClick xmlns:r="http://schemas.openxmlformats.org/officeDocument/2006/relationships" r:id="rId8" tooltip="Select to learn more from the web"/>
          <a:extLst>
            <a:ext uri="{FF2B5EF4-FFF2-40B4-BE49-F238E27FC236}">
              <a16:creationId xmlns:a16="http://schemas.microsoft.com/office/drawing/2014/main" id="{0312C5D5-9BED-4058-BA8F-27C33BF6E36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651746"/>
          <a:ext cx="494732" cy="448204"/>
        </a:xfrm>
        <a:prstGeom prst="rect">
          <a:avLst/>
        </a:prstGeom>
      </xdr:spPr>
    </xdr:pic>
    <xdr:clientData/>
  </xdr:twoCellAnchor>
  <xdr:twoCellAnchor editAs="absolute">
    <xdr:from>
      <xdr:col>1</xdr:col>
      <xdr:colOff>2875441</xdr:colOff>
      <xdr:row>139</xdr:row>
      <xdr:rowOff>156768</xdr:rowOff>
    </xdr:from>
    <xdr:to>
      <xdr:col>1</xdr:col>
      <xdr:colOff>5355907</xdr:colOff>
      <xdr:row>141</xdr:row>
      <xdr:rowOff>92754</xdr:rowOff>
    </xdr:to>
    <xdr:sp macro="" textlink="">
      <xdr:nvSpPr>
        <xdr:cNvPr id="183" name="Step" descr="All about the AVERAGEIFS function, Hyperlinked to web&#10;&#10;">
          <a:hlinkClick xmlns:r="http://schemas.openxmlformats.org/officeDocument/2006/relationships" r:id="rId9" tooltip="Select to learn all about the AVERAGEIFS function on the web"/>
          <a:extLst>
            <a:ext uri="{FF2B5EF4-FFF2-40B4-BE49-F238E27FC236}">
              <a16:creationId xmlns:a16="http://schemas.microsoft.com/office/drawing/2014/main" id="{5979CD87-1D2E-4D32-BF44-CE7F4285B790}"/>
            </a:ext>
          </a:extLst>
        </xdr:cNvPr>
        <xdr:cNvSpPr txBox="1"/>
      </xdr:nvSpPr>
      <xdr:spPr>
        <a:xfrm>
          <a:off x="3723166" y="27283968"/>
          <a:ext cx="248046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139</xdr:row>
      <xdr:rowOff>91159</xdr:rowOff>
    </xdr:from>
    <xdr:to>
      <xdr:col>1</xdr:col>
      <xdr:colOff>2904988</xdr:colOff>
      <xdr:row>141</xdr:row>
      <xdr:rowOff>158363</xdr:rowOff>
    </xdr:to>
    <xdr:pic>
      <xdr:nvPicPr>
        <xdr:cNvPr id="184" name="Graphic 22" descr="Arrow">
          <a:hlinkClick xmlns:r="http://schemas.openxmlformats.org/officeDocument/2006/relationships" r:id="rId9" tooltip="Select to learn more from the web"/>
          <a:extLst>
            <a:ext uri="{FF2B5EF4-FFF2-40B4-BE49-F238E27FC236}">
              <a16:creationId xmlns:a16="http://schemas.microsoft.com/office/drawing/2014/main" id="{4AE4B0D7-E242-4BB1-872C-53A3C6F0EBE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7218359"/>
          <a:ext cx="494732" cy="448204"/>
        </a:xfrm>
        <a:prstGeom prst="rect">
          <a:avLst/>
        </a:prstGeom>
      </xdr:spPr>
    </xdr:pic>
    <xdr:clientData/>
  </xdr:twoCellAnchor>
  <xdr:twoCellAnchor editAs="absolute">
    <xdr:from>
      <xdr:col>1</xdr:col>
      <xdr:colOff>103666</xdr:colOff>
      <xdr:row>139</xdr:row>
      <xdr:rowOff>156768</xdr:rowOff>
    </xdr:from>
    <xdr:to>
      <xdr:col>1</xdr:col>
      <xdr:colOff>2459685</xdr:colOff>
      <xdr:row>141</xdr:row>
      <xdr:rowOff>92754</xdr:rowOff>
    </xdr:to>
    <xdr:sp macro="" textlink="">
      <xdr:nvSpPr>
        <xdr:cNvPr id="185" name="Step" descr="All about the AVERAGEIF function, Hyperlinked to web&#10;&#10;">
          <a:hlinkClick xmlns:r="http://schemas.openxmlformats.org/officeDocument/2006/relationships" r:id="rId10" tooltip="Select to learn all about the AVERAGEIF function on the web"/>
          <a:extLst>
            <a:ext uri="{FF2B5EF4-FFF2-40B4-BE49-F238E27FC236}">
              <a16:creationId xmlns:a16="http://schemas.microsoft.com/office/drawing/2014/main" id="{9FF9239A-F102-47F3-A0A3-68BDFAFB9C67}"/>
            </a:ext>
          </a:extLst>
        </xdr:cNvPr>
        <xdr:cNvSpPr txBox="1"/>
      </xdr:nvSpPr>
      <xdr:spPr>
        <a:xfrm>
          <a:off x="951391" y="27283968"/>
          <a:ext cx="235601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AVERAGEIF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139</xdr:row>
      <xdr:rowOff>88777</xdr:rowOff>
    </xdr:from>
    <xdr:to>
      <xdr:col>1</xdr:col>
      <xdr:colOff>133213</xdr:colOff>
      <xdr:row>141</xdr:row>
      <xdr:rowOff>155981</xdr:rowOff>
    </xdr:to>
    <xdr:pic>
      <xdr:nvPicPr>
        <xdr:cNvPr id="186" name="Graphic 22" descr="Arrow">
          <a:hlinkClick xmlns:r="http://schemas.openxmlformats.org/officeDocument/2006/relationships" r:id="rId10" tooltip="Select to learn more from the web"/>
          <a:extLst>
            <a:ext uri="{FF2B5EF4-FFF2-40B4-BE49-F238E27FC236}">
              <a16:creationId xmlns:a16="http://schemas.microsoft.com/office/drawing/2014/main" id="{0BF07D7D-A138-4ADB-BA72-859640FE1C6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215977"/>
          <a:ext cx="494732" cy="448204"/>
        </a:xfrm>
        <a:prstGeom prst="rect">
          <a:avLst/>
        </a:prstGeom>
      </xdr:spPr>
    </xdr:pic>
    <xdr:clientData/>
  </xdr:twoCellAnchor>
  <xdr:twoCellAnchor editAs="absolute">
    <xdr:from>
      <xdr:col>1</xdr:col>
      <xdr:colOff>103665</xdr:colOff>
      <xdr:row>142</xdr:row>
      <xdr:rowOff>18655</xdr:rowOff>
    </xdr:from>
    <xdr:to>
      <xdr:col>1</xdr:col>
      <xdr:colOff>2258656</xdr:colOff>
      <xdr:row>143</xdr:row>
      <xdr:rowOff>145141</xdr:rowOff>
    </xdr:to>
    <xdr:sp macro="" textlink="">
      <xdr:nvSpPr>
        <xdr:cNvPr id="187" name="Step" descr="All about the MINIFS function, Hyperlinked to web&#10;&#10;">
          <a:hlinkClick xmlns:r="http://schemas.openxmlformats.org/officeDocument/2006/relationships" r:id="rId11" tooltip="Select to learn all about the MINIFS function on the web"/>
          <a:extLst>
            <a:ext uri="{FF2B5EF4-FFF2-40B4-BE49-F238E27FC236}">
              <a16:creationId xmlns:a16="http://schemas.microsoft.com/office/drawing/2014/main" id="{5BA88C28-4CAB-4843-A9C6-0DA18559CEDE}"/>
            </a:ext>
          </a:extLst>
        </xdr:cNvPr>
        <xdr:cNvSpPr txBox="1"/>
      </xdr:nvSpPr>
      <xdr:spPr>
        <a:xfrm>
          <a:off x="951390" y="27717355"/>
          <a:ext cx="2154991"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MINIFS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141</xdr:row>
      <xdr:rowOff>135211</xdr:rowOff>
    </xdr:from>
    <xdr:to>
      <xdr:col>1</xdr:col>
      <xdr:colOff>133213</xdr:colOff>
      <xdr:row>144</xdr:row>
      <xdr:rowOff>11915</xdr:rowOff>
    </xdr:to>
    <xdr:pic>
      <xdr:nvPicPr>
        <xdr:cNvPr id="188" name="Graphic 22" descr="Arrow">
          <a:hlinkClick xmlns:r="http://schemas.openxmlformats.org/officeDocument/2006/relationships" r:id="rId11" tooltip="Select to learn more from the web"/>
          <a:extLst>
            <a:ext uri="{FF2B5EF4-FFF2-40B4-BE49-F238E27FC236}">
              <a16:creationId xmlns:a16="http://schemas.microsoft.com/office/drawing/2014/main" id="{62494F7F-FF74-4EDC-AECB-91C2A1BA7E9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7643411"/>
          <a:ext cx="494732" cy="448204"/>
        </a:xfrm>
        <a:prstGeom prst="rect">
          <a:avLst/>
        </a:prstGeom>
      </xdr:spPr>
    </xdr:pic>
    <xdr:clientData/>
  </xdr:twoCellAnchor>
  <xdr:twoCellAnchor editAs="absolute">
    <xdr:from>
      <xdr:col>1</xdr:col>
      <xdr:colOff>2875441</xdr:colOff>
      <xdr:row>137</xdr:row>
      <xdr:rowOff>113905</xdr:rowOff>
    </xdr:from>
    <xdr:to>
      <xdr:col>1</xdr:col>
      <xdr:colOff>5212315</xdr:colOff>
      <xdr:row>139</xdr:row>
      <xdr:rowOff>49891</xdr:rowOff>
    </xdr:to>
    <xdr:sp macro="" textlink="">
      <xdr:nvSpPr>
        <xdr:cNvPr id="189" name="Step" descr="All about the COUNTIFS function, Hyperlinked to web&#10;&#10;">
          <a:hlinkClick xmlns:r="http://schemas.openxmlformats.org/officeDocument/2006/relationships" r:id="rId12" tooltip="Select to learn all about the COUNTIFS function on the web"/>
          <a:extLst>
            <a:ext uri="{FF2B5EF4-FFF2-40B4-BE49-F238E27FC236}">
              <a16:creationId xmlns:a16="http://schemas.microsoft.com/office/drawing/2014/main" id="{EADD320D-BECB-4510-A526-402BC7B8CE52}"/>
            </a:ext>
          </a:extLst>
        </xdr:cNvPr>
        <xdr:cNvSpPr txBox="1"/>
      </xdr:nvSpPr>
      <xdr:spPr>
        <a:xfrm>
          <a:off x="3723166" y="26860105"/>
          <a:ext cx="2336874"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137</xdr:row>
      <xdr:rowOff>48296</xdr:rowOff>
    </xdr:from>
    <xdr:to>
      <xdr:col>1</xdr:col>
      <xdr:colOff>2904988</xdr:colOff>
      <xdr:row>139</xdr:row>
      <xdr:rowOff>115500</xdr:rowOff>
    </xdr:to>
    <xdr:pic>
      <xdr:nvPicPr>
        <xdr:cNvPr id="190" name="Graphic 22" descr="Arrow">
          <a:hlinkClick xmlns:r="http://schemas.openxmlformats.org/officeDocument/2006/relationships" r:id="rId12" tooltip="Select to learn more from the web"/>
          <a:extLst>
            <a:ext uri="{FF2B5EF4-FFF2-40B4-BE49-F238E27FC236}">
              <a16:creationId xmlns:a16="http://schemas.microsoft.com/office/drawing/2014/main" id="{FAA7F95B-5D2C-47C5-B0BA-4E44FFE420D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794496"/>
          <a:ext cx="494732" cy="448204"/>
        </a:xfrm>
        <a:prstGeom prst="rect">
          <a:avLst/>
        </a:prstGeom>
      </xdr:spPr>
    </xdr:pic>
    <xdr:clientData/>
  </xdr:twoCellAnchor>
  <xdr:twoCellAnchor editAs="absolute">
    <xdr:from>
      <xdr:col>1</xdr:col>
      <xdr:colOff>2875441</xdr:colOff>
      <xdr:row>135</xdr:row>
      <xdr:rowOff>61518</xdr:rowOff>
    </xdr:from>
    <xdr:to>
      <xdr:col>1</xdr:col>
      <xdr:colOff>5059150</xdr:colOff>
      <xdr:row>136</xdr:row>
      <xdr:rowOff>180384</xdr:rowOff>
    </xdr:to>
    <xdr:sp macro="" textlink="">
      <xdr:nvSpPr>
        <xdr:cNvPr id="191" name="Step" descr="All about the SUMIFS function, Hyperlinked to web&#10;&#10;">
          <a:hlinkClick xmlns:r="http://schemas.openxmlformats.org/officeDocument/2006/relationships" r:id="rId13" tooltip="Select to learn all about the SUMIFS function on the web"/>
          <a:extLst>
            <a:ext uri="{FF2B5EF4-FFF2-40B4-BE49-F238E27FC236}">
              <a16:creationId xmlns:a16="http://schemas.microsoft.com/office/drawing/2014/main" id="{791E8E89-8DEE-430C-AEDB-E56F74AA279F}"/>
            </a:ext>
          </a:extLst>
        </xdr:cNvPr>
        <xdr:cNvSpPr txBox="1"/>
      </xdr:nvSpPr>
      <xdr:spPr>
        <a:xfrm>
          <a:off x="3723166" y="26426718"/>
          <a:ext cx="2183709"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SUMIFS</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1</xdr:col>
      <xdr:colOff>2410256</xdr:colOff>
      <xdr:row>135</xdr:row>
      <xdr:rowOff>3529</xdr:rowOff>
    </xdr:from>
    <xdr:to>
      <xdr:col>1</xdr:col>
      <xdr:colOff>2904988</xdr:colOff>
      <xdr:row>137</xdr:row>
      <xdr:rowOff>63113</xdr:rowOff>
    </xdr:to>
    <xdr:pic>
      <xdr:nvPicPr>
        <xdr:cNvPr id="192" name="Graphic 22" descr="Arrow">
          <a:hlinkClick xmlns:r="http://schemas.openxmlformats.org/officeDocument/2006/relationships" r:id="rId13" tooltip="Select to learn more from the web"/>
          <a:extLst>
            <a:ext uri="{FF2B5EF4-FFF2-40B4-BE49-F238E27FC236}">
              <a16:creationId xmlns:a16="http://schemas.microsoft.com/office/drawing/2014/main" id="{C5A41188-397A-4F2F-B7D0-DBBCCE404DD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257981" y="26361109"/>
          <a:ext cx="494732" cy="448204"/>
        </a:xfrm>
        <a:prstGeom prst="rect">
          <a:avLst/>
        </a:prstGeom>
      </xdr:spPr>
    </xdr:pic>
    <xdr:clientData/>
  </xdr:twoCellAnchor>
  <xdr:twoCellAnchor editAs="absolute">
    <xdr:from>
      <xdr:col>1</xdr:col>
      <xdr:colOff>103666</xdr:colOff>
      <xdr:row>135</xdr:row>
      <xdr:rowOff>61518</xdr:rowOff>
    </xdr:from>
    <xdr:to>
      <xdr:col>1</xdr:col>
      <xdr:colOff>2143784</xdr:colOff>
      <xdr:row>136</xdr:row>
      <xdr:rowOff>180384</xdr:rowOff>
    </xdr:to>
    <xdr:sp macro="" textlink="">
      <xdr:nvSpPr>
        <xdr:cNvPr id="193" name="Step" descr="All about the SUMIF function, Hyperlinked to web&#10;&#10;">
          <a:hlinkClick xmlns:r="http://schemas.openxmlformats.org/officeDocument/2006/relationships" r:id="rId14" tooltip="Select to learn all about the SUMIF function on the web"/>
          <a:extLst>
            <a:ext uri="{FF2B5EF4-FFF2-40B4-BE49-F238E27FC236}">
              <a16:creationId xmlns:a16="http://schemas.microsoft.com/office/drawing/2014/main" id="{EAC8BE16-FCC7-483A-A30D-3B1F29F65450}"/>
            </a:ext>
          </a:extLst>
        </xdr:cNvPr>
        <xdr:cNvSpPr txBox="1"/>
      </xdr:nvSpPr>
      <xdr:spPr>
        <a:xfrm>
          <a:off x="951391" y="26426718"/>
          <a:ext cx="204011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SUMIF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135</xdr:row>
      <xdr:rowOff>3529</xdr:rowOff>
    </xdr:from>
    <xdr:to>
      <xdr:col>1</xdr:col>
      <xdr:colOff>133213</xdr:colOff>
      <xdr:row>137</xdr:row>
      <xdr:rowOff>63113</xdr:rowOff>
    </xdr:to>
    <xdr:pic>
      <xdr:nvPicPr>
        <xdr:cNvPr id="194" name="Graphic 22" descr="Arrow">
          <a:hlinkClick xmlns:r="http://schemas.openxmlformats.org/officeDocument/2006/relationships" r:id="rId14" tooltip="Select to learn more from the web"/>
          <a:extLst>
            <a:ext uri="{FF2B5EF4-FFF2-40B4-BE49-F238E27FC236}">
              <a16:creationId xmlns:a16="http://schemas.microsoft.com/office/drawing/2014/main" id="{45F9CDAC-0421-4A99-A231-CE800072428D}"/>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361109"/>
          <a:ext cx="494732" cy="448204"/>
        </a:xfrm>
        <a:prstGeom prst="rect">
          <a:avLst/>
        </a:prstGeom>
      </xdr:spPr>
    </xdr:pic>
    <xdr:clientData/>
  </xdr:twoCellAnchor>
  <xdr:twoCellAnchor editAs="absolute">
    <xdr:from>
      <xdr:col>1</xdr:col>
      <xdr:colOff>103666</xdr:colOff>
      <xdr:row>137</xdr:row>
      <xdr:rowOff>113905</xdr:rowOff>
    </xdr:from>
    <xdr:to>
      <xdr:col>1</xdr:col>
      <xdr:colOff>2316094</xdr:colOff>
      <xdr:row>139</xdr:row>
      <xdr:rowOff>49891</xdr:rowOff>
    </xdr:to>
    <xdr:sp macro="" textlink="">
      <xdr:nvSpPr>
        <xdr:cNvPr id="195" name="Step" descr="All about the COUNTIF function, Hyperlinked to web&#10;&#10;">
          <a:hlinkClick xmlns:r="http://schemas.openxmlformats.org/officeDocument/2006/relationships" r:id="rId15" tooltip="Select to learn all about the COUNTIF function on the web"/>
          <a:extLst>
            <a:ext uri="{FF2B5EF4-FFF2-40B4-BE49-F238E27FC236}">
              <a16:creationId xmlns:a16="http://schemas.microsoft.com/office/drawing/2014/main" id="{C6912341-001C-497C-904C-1E09825E8C65}"/>
            </a:ext>
          </a:extLst>
        </xdr:cNvPr>
        <xdr:cNvSpPr txBox="1"/>
      </xdr:nvSpPr>
      <xdr:spPr>
        <a:xfrm>
          <a:off x="951391" y="26860105"/>
          <a:ext cx="2212428"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All about the </a:t>
          </a:r>
          <a:r>
            <a:rPr lang="en-US" sz="1100" b="1"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COUNTIF</a:t>
          </a: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function</a:t>
          </a:r>
        </a:p>
      </xdr:txBody>
    </xdr:sp>
    <xdr:clientData/>
  </xdr:twoCellAnchor>
  <xdr:twoCellAnchor editAs="absolute">
    <xdr:from>
      <xdr:col>0</xdr:col>
      <xdr:colOff>486206</xdr:colOff>
      <xdr:row>137</xdr:row>
      <xdr:rowOff>42343</xdr:rowOff>
    </xdr:from>
    <xdr:to>
      <xdr:col>1</xdr:col>
      <xdr:colOff>133213</xdr:colOff>
      <xdr:row>139</xdr:row>
      <xdr:rowOff>109547</xdr:rowOff>
    </xdr:to>
    <xdr:pic>
      <xdr:nvPicPr>
        <xdr:cNvPr id="196" name="Graphic 22" descr="Arrow">
          <a:hlinkClick xmlns:r="http://schemas.openxmlformats.org/officeDocument/2006/relationships" r:id="rId15" tooltip="Select to learn more from the web"/>
          <a:extLst>
            <a:ext uri="{FF2B5EF4-FFF2-40B4-BE49-F238E27FC236}">
              <a16:creationId xmlns:a16="http://schemas.microsoft.com/office/drawing/2014/main" id="{B19BEEB5-AD6A-49CD-BF7B-42649EF8A5C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6788543"/>
          <a:ext cx="494732" cy="448204"/>
        </a:xfrm>
        <a:prstGeom prst="rect">
          <a:avLst/>
        </a:prstGeom>
      </xdr:spPr>
    </xdr:pic>
    <xdr:clientData/>
  </xdr:twoCellAnchor>
  <xdr:twoCellAnchor editAs="absolute">
    <xdr:from>
      <xdr:col>1</xdr:col>
      <xdr:colOff>103666</xdr:colOff>
      <xdr:row>144</xdr:row>
      <xdr:rowOff>56755</xdr:rowOff>
    </xdr:from>
    <xdr:to>
      <xdr:col>1</xdr:col>
      <xdr:colOff>2003842</xdr:colOff>
      <xdr:row>146</xdr:row>
      <xdr:rowOff>361</xdr:rowOff>
    </xdr:to>
    <xdr:sp macro="" textlink="">
      <xdr:nvSpPr>
        <xdr:cNvPr id="197" name="Step" descr="Create a drop-down list. Hyperlinked to web&#10;&#10;">
          <a:hlinkClick xmlns:r="http://schemas.openxmlformats.org/officeDocument/2006/relationships" r:id="rId16" tooltip="Select to learn all about creating a drop-down list on the web"/>
          <a:extLst>
            <a:ext uri="{FF2B5EF4-FFF2-40B4-BE49-F238E27FC236}">
              <a16:creationId xmlns:a16="http://schemas.microsoft.com/office/drawing/2014/main" id="{0E1FD4BB-1B69-400F-9A73-D9D7B8667E1C}"/>
            </a:ext>
          </a:extLst>
        </xdr:cNvPr>
        <xdr:cNvSpPr txBox="1"/>
      </xdr:nvSpPr>
      <xdr:spPr>
        <a:xfrm>
          <a:off x="951391" y="28136455"/>
          <a:ext cx="1900176" cy="3169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Create a drop-down list</a:t>
          </a:r>
        </a:p>
      </xdr:txBody>
    </xdr:sp>
    <xdr:clientData/>
  </xdr:twoCellAnchor>
  <xdr:twoCellAnchor editAs="absolute">
    <xdr:from>
      <xdr:col>0</xdr:col>
      <xdr:colOff>486206</xdr:colOff>
      <xdr:row>143</xdr:row>
      <xdr:rowOff>181646</xdr:rowOff>
    </xdr:from>
    <xdr:to>
      <xdr:col>1</xdr:col>
      <xdr:colOff>133213</xdr:colOff>
      <xdr:row>146</xdr:row>
      <xdr:rowOff>58350</xdr:rowOff>
    </xdr:to>
    <xdr:pic>
      <xdr:nvPicPr>
        <xdr:cNvPr id="198" name="Graphic 22" descr="Arrow">
          <a:hlinkClick xmlns:r="http://schemas.openxmlformats.org/officeDocument/2006/relationships" r:id="rId16" tooltip="Select to learn more from the web"/>
          <a:extLst>
            <a:ext uri="{FF2B5EF4-FFF2-40B4-BE49-F238E27FC236}">
              <a16:creationId xmlns:a16="http://schemas.microsoft.com/office/drawing/2014/main" id="{66C373A0-3E96-4B8D-BE49-6F426671C29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86206" y="28070846"/>
          <a:ext cx="494732" cy="448204"/>
        </a:xfrm>
        <a:prstGeom prst="rect">
          <a:avLst/>
        </a:prstGeom>
      </xdr:spPr>
    </xdr:pic>
    <xdr:clientData/>
  </xdr:twoCellAnchor>
  <xdr:twoCellAnchor editAs="absolute">
    <xdr:from>
      <xdr:col>0</xdr:col>
      <xdr:colOff>523597</xdr:colOff>
      <xdr:row>21</xdr:row>
      <xdr:rowOff>3858</xdr:rowOff>
    </xdr:from>
    <xdr:to>
      <xdr:col>1</xdr:col>
      <xdr:colOff>4915079</xdr:colOff>
      <xdr:row>23</xdr:row>
      <xdr:rowOff>177107</xdr:rowOff>
    </xdr:to>
    <xdr:grpSp>
      <xdr:nvGrpSpPr>
        <xdr:cNvPr id="4" name="Group 3">
          <a:extLst>
            <a:ext uri="{FF2B5EF4-FFF2-40B4-BE49-F238E27FC236}">
              <a16:creationId xmlns:a16="http://schemas.microsoft.com/office/drawing/2014/main" id="{5F83CBBA-90B0-4EB0-9AB8-57CF000EADA5}"/>
            </a:ext>
          </a:extLst>
        </xdr:cNvPr>
        <xdr:cNvGrpSpPr/>
      </xdr:nvGrpSpPr>
      <xdr:grpSpPr>
        <a:xfrm>
          <a:off x="523597" y="4575858"/>
          <a:ext cx="5260162" cy="554249"/>
          <a:chOff x="571500" y="4575858"/>
          <a:chExt cx="5229626" cy="554249"/>
        </a:xfrm>
      </xdr:grpSpPr>
      <xdr:sp macro="" textlink="">
        <xdr:nvSpPr>
          <xdr:cNvPr id="200" name="txt_Step" descr="SUMIFS is the same as SUMIF, but it lets you use multiple criteria. So in this example, you can look for Fruit and Type, instead of just by Fruit. Select cell H17 and type =SUMIFS(H3:H14,F3:F14,F17,G3:G14,G17). SUMIFS is structured like this:&#10;&#10;&#10;">
            <a:extLst>
              <a:ext uri="{FF2B5EF4-FFF2-40B4-BE49-F238E27FC236}">
                <a16:creationId xmlns:a16="http://schemas.microsoft.com/office/drawing/2014/main" id="{4F912E6F-F743-47DF-85DF-3039C56B3212}"/>
              </a:ext>
            </a:extLst>
          </xdr:cNvPr>
          <xdr:cNvSpPr txBox="1"/>
        </xdr:nvSpPr>
        <xdr:spPr>
          <a:xfrm>
            <a:off x="991382" y="457585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SOMME.SI.ENS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est identique à SOMME.SI, mais il vous permet d’utiliser plusieurs critères. Ainsi, dans cet exemple, vous pouvez rechercher Fruit et Type, au lieu de simplement par Fruit. Sélectionnez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H17</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et tapez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=SOMME.SI.ENS(H3:H14;F3:F14;F17;G3:G14;G17)</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SOMME.SI.ENS  est structuré comme suit :</a:t>
            </a:r>
          </a:p>
        </xdr:txBody>
      </xdr:sp>
      <xdr:sp macro="" textlink="">
        <xdr:nvSpPr>
          <xdr:cNvPr id="201" name="shp_Step" descr="2">
            <a:extLst>
              <a:ext uri="{FF2B5EF4-FFF2-40B4-BE49-F238E27FC236}">
                <a16:creationId xmlns:a16="http://schemas.microsoft.com/office/drawing/2014/main" id="{1D52C7D7-6054-4019-A8DF-A592149208E6}"/>
              </a:ext>
            </a:extLst>
          </xdr:cNvPr>
          <xdr:cNvSpPr/>
        </xdr:nvSpPr>
        <xdr:spPr>
          <a:xfrm>
            <a:off x="571500" y="46101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361948</xdr:colOff>
      <xdr:row>111</xdr:row>
      <xdr:rowOff>114299</xdr:rowOff>
    </xdr:from>
    <xdr:to>
      <xdr:col>1</xdr:col>
      <xdr:colOff>6393179</xdr:colOff>
      <xdr:row>131</xdr:row>
      <xdr:rowOff>49427</xdr:rowOff>
    </xdr:to>
    <xdr:grpSp>
      <xdr:nvGrpSpPr>
        <xdr:cNvPr id="202" name="More about SUMIF" descr="More about the SUM function &#10;In some of the above tips, we taught you how to use the SUM function. Here are &#10;more details about it Double-click a yellow cell on the right, and then read along with the text below. &#10;If the SUM function could talk, it would say this: &#10;Sum up the following: ...the values in &#10;cells D38, D39, D40, and 041. &#10;=SUM(D38:D41) &#10;Here's another way it can be used: &#10;Sum the following: ...the value in cell 049, ...the values in cells G48, G49, G50, and G51, ...and 100&#10;=SUM(D48,G48:G51,100) &#10;The formula above uses the following: &#10;A single cell reference, which is the address&quot; or &quot;name' of a cell. D48 is the single cell reference in the formula above. &#10;A range of cells, which is a series of cells starting at one cell and ending at another. &#10;G48:G51 is the range of cells in the formula. &#10;A constant. The constant in this formula is the number 100">
          <a:extLst>
            <a:ext uri="{FF2B5EF4-FFF2-40B4-BE49-F238E27FC236}">
              <a16:creationId xmlns:a16="http://schemas.microsoft.com/office/drawing/2014/main" id="{B8E178DB-194F-437D-A671-57E96B94B0C8}"/>
            </a:ext>
          </a:extLst>
        </xdr:cNvPr>
        <xdr:cNvGrpSpPr>
          <a:grpSpLocks/>
        </xdr:cNvGrpSpPr>
      </xdr:nvGrpSpPr>
      <xdr:grpSpPr>
        <a:xfrm>
          <a:off x="361948" y="21381719"/>
          <a:ext cx="6899911" cy="3623208"/>
          <a:chOff x="347872" y="13364013"/>
          <a:chExt cx="5695950" cy="3673037"/>
        </a:xfrm>
      </xdr:grpSpPr>
      <xdr:sp macro="" textlink="">
        <xdr:nvSpPr>
          <xdr:cNvPr id="203" name="Rectangle 202" descr="Background">
            <a:extLst>
              <a:ext uri="{FF2B5EF4-FFF2-40B4-BE49-F238E27FC236}">
                <a16:creationId xmlns:a16="http://schemas.microsoft.com/office/drawing/2014/main" id="{511D36F9-540E-473D-938B-915FC423BB65}"/>
              </a:ext>
            </a:extLst>
          </xdr:cNvPr>
          <xdr:cNvSpPr/>
        </xdr:nvSpPr>
        <xdr:spPr>
          <a:xfrm>
            <a:off x="347872" y="13364013"/>
            <a:ext cx="5695950" cy="3673037"/>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cxnSp macro="">
        <xdr:nvCxnSpPr>
          <xdr:cNvPr id="204" name="Straight Connector 203" descr="Decorative line">
            <a:extLst>
              <a:ext uri="{FF2B5EF4-FFF2-40B4-BE49-F238E27FC236}">
                <a16:creationId xmlns:a16="http://schemas.microsoft.com/office/drawing/2014/main" id="{8CE19759-2E0E-4B02-9036-C026578459EA}"/>
              </a:ext>
            </a:extLst>
          </xdr:cNvPr>
          <xdr:cNvCxnSpPr>
            <a:cxnSpLocks/>
          </xdr:cNvCxnSpPr>
        </xdr:nvCxnSpPr>
        <xdr:spPr>
          <a:xfrm>
            <a:off x="547944" y="13999009"/>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05" name="Straight Connector 204" descr="Decorative line">
            <a:extLst>
              <a:ext uri="{FF2B5EF4-FFF2-40B4-BE49-F238E27FC236}">
                <a16:creationId xmlns:a16="http://schemas.microsoft.com/office/drawing/2014/main" id="{723D124C-02B5-4BA5-9E97-CD05528A4CEB}"/>
              </a:ext>
            </a:extLst>
          </xdr:cNvPr>
          <xdr:cNvCxnSpPr>
            <a:cxnSpLocks/>
          </xdr:cNvCxnSpPr>
        </xdr:nvCxnSpPr>
        <xdr:spPr>
          <a:xfrm>
            <a:off x="547944" y="16803908"/>
            <a:ext cx="52168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06" name="Step" descr="SUMIF with a value argument&#10;">
            <a:extLst>
              <a:ext uri="{FF2B5EF4-FFF2-40B4-BE49-F238E27FC236}">
                <a16:creationId xmlns:a16="http://schemas.microsoft.com/office/drawing/2014/main" id="{5235BA6D-D4C0-4535-80CC-C79544A0F77D}"/>
              </a:ext>
            </a:extLst>
          </xdr:cNvPr>
          <xdr:cNvSpPr txBox="1"/>
        </xdr:nvSpPr>
        <xdr:spPr>
          <a:xfrm>
            <a:off x="547944" y="13488151"/>
            <a:ext cx="4917755" cy="4935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SOMME.SI avec un argument de valeur</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sp macro="" textlink="">
        <xdr:nvSpPr>
          <xdr:cNvPr id="207" name="Step" descr="Here's an example of the SUMIF function using greater than to find all values greater than a given amount:&#10;&#10;">
            <a:extLst>
              <a:ext uri="{FF2B5EF4-FFF2-40B4-BE49-F238E27FC236}">
                <a16:creationId xmlns:a16="http://schemas.microsoft.com/office/drawing/2014/main" id="{792313DA-1F40-48BD-8EAF-3D313D4FB9FC}"/>
              </a:ext>
            </a:extLst>
          </xdr:cNvPr>
          <xdr:cNvSpPr txBox="1"/>
        </xdr:nvSpPr>
        <xdr:spPr>
          <a:xfrm>
            <a:off x="553342" y="14086482"/>
            <a:ext cx="5303780" cy="107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Voici un exemple de la fonction SOMME.SI utilisant plus</a:t>
            </a:r>
            <a:r>
              <a:rPr lang="en-US" sz="1100"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grand que </a:t>
            </a:r>
            <a:r>
              <a:rPr lang="en-US" sz="110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(&gt;) pour trouver toutes les valeurs supérieures à un montant donné :</a:t>
            </a:r>
          </a:p>
        </xdr:txBody>
      </xdr:sp>
      <xdr:sp macro="" textlink="">
        <xdr:nvSpPr>
          <xdr:cNvPr id="208" name="Step" descr="NOTE: If you find you are making a lot of SUMIF formulas, you might find that a PivotTable is a better solution. Click to see the PivotTable article on the web for more information&#10;">
            <a:hlinkClick xmlns:r="http://schemas.openxmlformats.org/officeDocument/2006/relationships" r:id="rId17" tooltip="Select to go to the PivotTable worksheet"/>
            <a:extLst>
              <a:ext uri="{FF2B5EF4-FFF2-40B4-BE49-F238E27FC236}">
                <a16:creationId xmlns:a16="http://schemas.microsoft.com/office/drawing/2014/main" id="{34FB80A3-CAA8-4879-81AA-6C9C6DA04FF8}"/>
              </a:ext>
            </a:extLst>
          </xdr:cNvPr>
          <xdr:cNvSpPr txBox="1"/>
        </xdr:nvSpPr>
        <xdr:spPr>
          <a:xfrm>
            <a:off x="553342" y="16028877"/>
            <a:ext cx="5303780" cy="4850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b="0"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REMARQUE : Si vous constatez que vous créez beaucoup de formules conditionnelles, vous constaterez peut-être qu’un tableau croisé dynamique est une meilleure solution. Pour plus d’informations, consultez cet article sur les tableaux croisés dynamiques.</a:t>
            </a:r>
          </a:p>
        </xdr:txBody>
      </xdr:sp>
      <xdr:sp macro="" textlink="">
        <xdr:nvSpPr>
          <xdr:cNvPr id="209" name="TextBox 100" descr="=SUMIF(D118:D122,&quot;&gt;=50&quot;)&#10;&#10;&#10;">
            <a:extLst>
              <a:ext uri="{FF2B5EF4-FFF2-40B4-BE49-F238E27FC236}">
                <a16:creationId xmlns:a16="http://schemas.microsoft.com/office/drawing/2014/main" id="{081FEA47-A154-4881-BA88-6F77A1DA2820}"/>
              </a:ext>
            </a:extLst>
          </xdr:cNvPr>
          <xdr:cNvSpPr txBox="1"/>
        </xdr:nvSpPr>
        <xdr:spPr>
          <a:xfrm>
            <a:off x="541774" y="15649276"/>
            <a:ext cx="3800296" cy="5089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effectLst/>
                <a:latin typeface="Courier New" panose="02070309020205020404" pitchFamily="49" charset="0"/>
                <a:ea typeface="Times New Roman" panose="02020603050405020304" pitchFamily="18" charset="0"/>
                <a:cs typeface="Courier New" panose="02070309020205020404" pitchFamily="49" charset="0"/>
              </a:rPr>
              <a:t>=</a:t>
            </a:r>
            <a:r>
              <a:rPr lang="en-US" sz="2000">
                <a:solidFill>
                  <a:schemeClr val="dk1"/>
                </a:solidFill>
                <a:effectLst/>
                <a:latin typeface="Courier New" panose="02070309020205020404" pitchFamily="49" charset="0"/>
                <a:ea typeface="Times New Roman" panose="02020603050405020304" pitchFamily="18" charset="0"/>
                <a:cs typeface="Courier New" panose="02070309020205020404" pitchFamily="49" charset="0"/>
              </a:rPr>
              <a:t>SOMME.SI(D118:D122,"&gt;=</a:t>
            </a:r>
            <a:r>
              <a:rPr lang="en-US" sz="2000">
                <a:effectLst/>
                <a:latin typeface="Courier New" panose="02070309020205020404" pitchFamily="49" charset="0"/>
                <a:ea typeface="Times New Roman" panose="02020603050405020304" pitchFamily="18" charset="0"/>
                <a:cs typeface="Courier New" panose="02070309020205020404" pitchFamily="49" charset="0"/>
              </a:rPr>
              <a:t>50")</a:t>
            </a:r>
          </a:p>
          <a:p>
            <a:pPr marL="0" marR="0">
              <a:spcBef>
                <a:spcPts val="0"/>
              </a:spcBef>
              <a:spcAft>
                <a:spcPts val="0"/>
              </a:spcAft>
            </a:pPr>
            <a:endParaRPr lang="en-US" sz="2000">
              <a:effectLst/>
              <a:latin typeface="Times New Roman" panose="02020603050405020304" pitchFamily="18" charset="0"/>
              <a:ea typeface="Times New Roman" panose="02020603050405020304" pitchFamily="18" charset="0"/>
            </a:endParaRPr>
          </a:p>
        </xdr:txBody>
      </xdr:sp>
      <xdr:sp macro="" textlink="">
        <xdr:nvSpPr>
          <xdr:cNvPr id="210" name="Left Brace 209">
            <a:extLst>
              <a:ext uri="{FF2B5EF4-FFF2-40B4-BE49-F238E27FC236}">
                <a16:creationId xmlns:a16="http://schemas.microsoft.com/office/drawing/2014/main" id="{D4198EE4-6DA5-4995-A5C3-297510D75CBC}"/>
              </a:ext>
            </a:extLst>
          </xdr:cNvPr>
          <xdr:cNvSpPr/>
        </xdr:nvSpPr>
        <xdr:spPr>
          <a:xfrm rot="5400000">
            <a:off x="1102487" y="15119668"/>
            <a:ext cx="168594" cy="97043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1" name="Text Box 2" descr="Sum up some values based on this criterion:&#10;">
            <a:extLst>
              <a:ext uri="{FF2B5EF4-FFF2-40B4-BE49-F238E27FC236}">
                <a16:creationId xmlns:a16="http://schemas.microsoft.com/office/drawing/2014/main" id="{68686DE4-CB48-4915-8A63-E98D9F67B388}"/>
              </a:ext>
            </a:extLst>
          </xdr:cNvPr>
          <xdr:cNvSpPr txBox="1">
            <a:spLocks noChangeArrowheads="1"/>
          </xdr:cNvSpPr>
        </xdr:nvSpPr>
        <xdr:spPr bwMode="auto">
          <a:xfrm>
            <a:off x="521614" y="14655341"/>
            <a:ext cx="1219581" cy="851656"/>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Additionnez quelques valeurs en fonction de ce critère :</a:t>
            </a:r>
          </a:p>
        </xdr:txBody>
      </xdr:sp>
      <xdr:sp macro="" textlink="">
        <xdr:nvSpPr>
          <xdr:cNvPr id="212" name="Left Brace 211">
            <a:extLst>
              <a:ext uri="{FF2B5EF4-FFF2-40B4-BE49-F238E27FC236}">
                <a16:creationId xmlns:a16="http://schemas.microsoft.com/office/drawing/2014/main" id="{1F715516-41DD-4007-B4E1-F5219D7F5E3F}"/>
              </a:ext>
            </a:extLst>
          </xdr:cNvPr>
          <xdr:cNvSpPr/>
        </xdr:nvSpPr>
        <xdr:spPr>
          <a:xfrm rot="5400000">
            <a:off x="2223979" y="14916133"/>
            <a:ext cx="295280" cy="1328489"/>
          </a:xfrm>
          <a:prstGeom prst="leftBrace">
            <a:avLst>
              <a:gd name="adj1" fmla="val 8333"/>
              <a:gd name="adj2" fmla="val 49651"/>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3" name="Text Box 2" descr="....Look through these cells...&#10; &#10;">
            <a:extLst>
              <a:ext uri="{FF2B5EF4-FFF2-40B4-BE49-F238E27FC236}">
                <a16:creationId xmlns:a16="http://schemas.microsoft.com/office/drawing/2014/main" id="{85793BB1-60AB-4D75-A97F-587A5AAF3641}"/>
              </a:ext>
            </a:extLst>
          </xdr:cNvPr>
          <xdr:cNvSpPr txBox="1">
            <a:spLocks noChangeArrowheads="1"/>
          </xdr:cNvSpPr>
        </xdr:nvSpPr>
        <xdr:spPr bwMode="auto">
          <a:xfrm>
            <a:off x="1812107" y="14663352"/>
            <a:ext cx="1102580"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Regardez dans</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ces </a:t>
            </a:r>
            <a:r>
              <a:rPr lang="en-US" sz="1100">
                <a:effectLst/>
                <a:latin typeface="Calibri" panose="020F0502020204030204" pitchFamily="34" charset="0"/>
                <a:ea typeface="Calibri" panose="020F0502020204030204" pitchFamily="34" charset="0"/>
                <a:cs typeface="Times New Roman" panose="02020603050405020304" pitchFamily="18" charset="0"/>
              </a:rPr>
              <a:t>cellules... </a:t>
            </a:r>
          </a:p>
        </xdr:txBody>
      </xdr:sp>
      <xdr:sp macro="" textlink="">
        <xdr:nvSpPr>
          <xdr:cNvPr id="214" name="Left Brace 213">
            <a:extLst>
              <a:ext uri="{FF2B5EF4-FFF2-40B4-BE49-F238E27FC236}">
                <a16:creationId xmlns:a16="http://schemas.microsoft.com/office/drawing/2014/main" id="{DDE8A4F2-7D99-42CD-BA7B-3FD932A6B224}"/>
              </a:ext>
            </a:extLst>
          </xdr:cNvPr>
          <xdr:cNvSpPr/>
        </xdr:nvSpPr>
        <xdr:spPr>
          <a:xfrm rot="5400000">
            <a:off x="3309231" y="15198268"/>
            <a:ext cx="279611" cy="748557"/>
          </a:xfrm>
          <a:prstGeom prst="leftBrace">
            <a:avLst>
              <a:gd name="adj1" fmla="val 15347"/>
              <a:gd name="adj2" fmla="val 51598"/>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15" name="Text Box 2" descr="...and if the value is greater than 50, sum it up&#10; &#10;">
            <a:extLst>
              <a:ext uri="{FF2B5EF4-FFF2-40B4-BE49-F238E27FC236}">
                <a16:creationId xmlns:a16="http://schemas.microsoft.com/office/drawing/2014/main" id="{34E10F90-E5DA-4762-813E-A88E491D6100}"/>
              </a:ext>
            </a:extLst>
          </xdr:cNvPr>
          <xdr:cNvSpPr txBox="1">
            <a:spLocks noChangeArrowheads="1"/>
          </xdr:cNvSpPr>
        </xdr:nvSpPr>
        <xdr:spPr bwMode="auto">
          <a:xfrm>
            <a:off x="3121746" y="14663352"/>
            <a:ext cx="976295" cy="851657"/>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 Et si la valeur est supérieure à 50, additionnez-lez. </a:t>
            </a:r>
          </a:p>
        </xdr:txBody>
      </xdr:sp>
    </xdr:grpSp>
    <xdr:clientData/>
  </xdr:twoCellAnchor>
  <xdr:twoCellAnchor>
    <xdr:from>
      <xdr:col>5</xdr:col>
      <xdr:colOff>299651</xdr:colOff>
      <xdr:row>17</xdr:row>
      <xdr:rowOff>154967</xdr:rowOff>
    </xdr:from>
    <xdr:to>
      <xdr:col>11</xdr:col>
      <xdr:colOff>133350</xdr:colOff>
      <xdr:row>25</xdr:row>
      <xdr:rowOff>91440</xdr:rowOff>
    </xdr:to>
    <xdr:grpSp>
      <xdr:nvGrpSpPr>
        <xdr:cNvPr id="216" name="Group 215">
          <a:extLst>
            <a:ext uri="{FF2B5EF4-FFF2-40B4-BE49-F238E27FC236}">
              <a16:creationId xmlns:a16="http://schemas.microsoft.com/office/drawing/2014/main" id="{0FA38FBC-68F7-4669-920A-9D32BAD15061}"/>
            </a:ext>
          </a:extLst>
        </xdr:cNvPr>
        <xdr:cNvGrpSpPr/>
      </xdr:nvGrpSpPr>
      <xdr:grpSpPr>
        <a:xfrm>
          <a:off x="10022771" y="3964967"/>
          <a:ext cx="4268539" cy="1460473"/>
          <a:chOff x="9434126" y="7174892"/>
          <a:chExt cx="4148524" cy="1460473"/>
        </a:xfrm>
      </xdr:grpSpPr>
      <xdr:grpSp>
        <xdr:nvGrpSpPr>
          <xdr:cNvPr id="217" name="Group 216">
            <a:extLst>
              <a:ext uri="{FF2B5EF4-FFF2-40B4-BE49-F238E27FC236}">
                <a16:creationId xmlns:a16="http://schemas.microsoft.com/office/drawing/2014/main" id="{CD1F56E6-4339-49C4-BA4B-9E71C6AAB175}"/>
              </a:ext>
            </a:extLst>
          </xdr:cNvPr>
          <xdr:cNvGrpSpPr/>
        </xdr:nvGrpSpPr>
        <xdr:grpSpPr>
          <a:xfrm>
            <a:off x="9434126" y="7219374"/>
            <a:ext cx="4148524" cy="1415991"/>
            <a:chOff x="10339001" y="7219374"/>
            <a:chExt cx="4148524" cy="1415991"/>
          </a:xfrm>
        </xdr:grpSpPr>
        <xdr:grpSp>
          <xdr:nvGrpSpPr>
            <xdr:cNvPr id="219" name="EXPERT TIP" descr="EXPERT TIP">
              <a:extLst>
                <a:ext uri="{FF2B5EF4-FFF2-40B4-BE49-F238E27FC236}">
                  <a16:creationId xmlns:a16="http://schemas.microsoft.com/office/drawing/2014/main" id="{80AEA6E2-8705-424F-9170-D839A6C17C4E}"/>
                </a:ext>
              </a:extLst>
            </xdr:cNvPr>
            <xdr:cNvGrpSpPr/>
          </xdr:nvGrpSpPr>
          <xdr:grpSpPr>
            <a:xfrm>
              <a:off x="11734800" y="7219950"/>
              <a:ext cx="2752725" cy="1415415"/>
              <a:chOff x="8448675" y="2143125"/>
              <a:chExt cx="2419160" cy="1406778"/>
            </a:xfrm>
          </xdr:grpSpPr>
          <xdr:pic>
            <xdr:nvPicPr>
              <xdr:cNvPr id="221" name="Graphic 2" descr="Owl">
                <a:extLst>
                  <a:ext uri="{FF2B5EF4-FFF2-40B4-BE49-F238E27FC236}">
                    <a16:creationId xmlns:a16="http://schemas.microsoft.com/office/drawing/2014/main" id="{005C7F96-8ED7-420B-AD1E-BC344D71706B}"/>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8448675" y="2170284"/>
                <a:ext cx="444647" cy="444647"/>
              </a:xfrm>
              <a:prstGeom prst="rect">
                <a:avLst/>
              </a:prstGeom>
            </xdr:spPr>
          </xdr:pic>
          <xdr:sp macro="" textlink="">
            <xdr:nvSpPr>
              <xdr:cNvPr id="222" name="Step" descr="EXPERT TIP&#10;Each one of the Fruit and Type cells has a drop-down list where you can select different fruits. Try it, and watch the formulas automatically update.&#10;">
                <a:extLst>
                  <a:ext uri="{FF2B5EF4-FFF2-40B4-BE49-F238E27FC236}">
                    <a16:creationId xmlns:a16="http://schemas.microsoft.com/office/drawing/2014/main" id="{5CCDF5E6-5FC8-4BED-8317-7F1909950424}"/>
                  </a:ext>
                </a:extLst>
              </xdr:cNvPr>
              <xdr:cNvSpPr txBox="1"/>
            </xdr:nvSpPr>
            <xdr:spPr>
              <a:xfrm>
                <a:off x="8782052" y="2143125"/>
                <a:ext cx="2085783" cy="14067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TRUC D'EXPERT</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ea typeface="Segoe UI" pitchFamily="34" charset="0"/>
                    <a:cs typeface="Segoe UI Light" panose="020B0502040204020203" pitchFamily="34" charset="0"/>
                  </a:rPr>
                  <a:t>Chacune des cellules Fruit et Type comporte une liste déroulante dans laquelle vous pouvez sélectionner différents fruits. Essayez-le et regardez les formules se mettre à jour automatiquement.</a:t>
                </a:r>
              </a:p>
            </xdr:txBody>
          </xdr:sp>
        </xdr:grpSp>
        <xdr:sp macro="" textlink="">
          <xdr:nvSpPr>
            <xdr:cNvPr id="220" name="Freeform: Shape 219">
              <a:extLst>
                <a:ext uri="{FF2B5EF4-FFF2-40B4-BE49-F238E27FC236}">
                  <a16:creationId xmlns:a16="http://schemas.microsoft.com/office/drawing/2014/main" id="{AF0BFE77-4F4B-4DF3-83CA-BB18C515031A}"/>
                </a:ext>
              </a:extLst>
            </xdr:cNvPr>
            <xdr:cNvSpPr/>
          </xdr:nvSpPr>
          <xdr:spPr>
            <a:xfrm rot="1452668" flipH="1" flipV="1">
              <a:off x="10339001" y="7219374"/>
              <a:ext cx="1431970" cy="264252"/>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218" name="Freeform: Shape 217">
            <a:extLst>
              <a:ext uri="{FF2B5EF4-FFF2-40B4-BE49-F238E27FC236}">
                <a16:creationId xmlns:a16="http://schemas.microsoft.com/office/drawing/2014/main" id="{19645F13-0D13-4734-8A33-17BCC3F25A81}"/>
              </a:ext>
            </a:extLst>
          </xdr:cNvPr>
          <xdr:cNvSpPr/>
        </xdr:nvSpPr>
        <xdr:spPr>
          <a:xfrm rot="1980529" flipH="1" flipV="1">
            <a:off x="10150393" y="7174892"/>
            <a:ext cx="691581" cy="182474"/>
          </a:xfrm>
          <a:custGeom>
            <a:avLst/>
            <a:gdLst>
              <a:gd name="connsiteX0" fmla="*/ 0 w 1504950"/>
              <a:gd name="connsiteY0" fmla="*/ 496803 h 496803"/>
              <a:gd name="connsiteX1" fmla="*/ 809625 w 1504950"/>
              <a:gd name="connsiteY1" fmla="*/ 20553 h 496803"/>
              <a:gd name="connsiteX2" fmla="*/ 1504950 w 1504950"/>
              <a:gd name="connsiteY2" fmla="*/ 106278 h 496803"/>
            </a:gdLst>
            <a:ahLst/>
            <a:cxnLst>
              <a:cxn ang="0">
                <a:pos x="connsiteX0" y="connsiteY0"/>
              </a:cxn>
              <a:cxn ang="0">
                <a:pos x="connsiteX1" y="connsiteY1"/>
              </a:cxn>
              <a:cxn ang="0">
                <a:pos x="connsiteX2" y="connsiteY2"/>
              </a:cxn>
            </a:cxnLst>
            <a:rect l="l" t="t" r="r" b="b"/>
            <a:pathLst>
              <a:path w="1504950" h="496803">
                <a:moveTo>
                  <a:pt x="0" y="496803"/>
                </a:moveTo>
                <a:cubicBezTo>
                  <a:pt x="279400" y="291221"/>
                  <a:pt x="558800" y="85640"/>
                  <a:pt x="809625" y="20553"/>
                </a:cubicBezTo>
                <a:cubicBezTo>
                  <a:pt x="1060450" y="-44534"/>
                  <a:pt x="1411288" y="61828"/>
                  <a:pt x="1504950" y="106278"/>
                </a:cubicBezTo>
              </a:path>
            </a:pathLst>
          </a:custGeom>
          <a:noFill/>
          <a:ln w="19050">
            <a:solidFill>
              <a:srgbClr val="F4B183"/>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0</xdr:col>
      <xdr:colOff>822960</xdr:colOff>
      <xdr:row>10</xdr:row>
      <xdr:rowOff>91440</xdr:rowOff>
    </xdr:from>
    <xdr:to>
      <xdr:col>1</xdr:col>
      <xdr:colOff>5097779</xdr:colOff>
      <xdr:row>20</xdr:row>
      <xdr:rowOff>133350</xdr:rowOff>
    </xdr:to>
    <xdr:grpSp>
      <xdr:nvGrpSpPr>
        <xdr:cNvPr id="223" name="Group 222">
          <a:extLst>
            <a:ext uri="{FF2B5EF4-FFF2-40B4-BE49-F238E27FC236}">
              <a16:creationId xmlns:a16="http://schemas.microsoft.com/office/drawing/2014/main" id="{6D0DD3D5-631D-4EF0-B8E5-3D745F7C34F8}"/>
            </a:ext>
          </a:extLst>
        </xdr:cNvPr>
        <xdr:cNvGrpSpPr/>
      </xdr:nvGrpSpPr>
      <xdr:grpSpPr>
        <a:xfrm>
          <a:off x="822960" y="2567940"/>
          <a:ext cx="5143499" cy="1946910"/>
          <a:chOff x="3048000" y="4501515"/>
          <a:chExt cx="4354750" cy="1946910"/>
        </a:xfrm>
      </xdr:grpSpPr>
      <xdr:sp macro="" textlink="">
        <xdr:nvSpPr>
          <xdr:cNvPr id="224" name="txt_Formula" descr="=SUMIF(C3:C14,C17,D3:D4)&#10;">
            <a:extLst>
              <a:ext uri="{FF2B5EF4-FFF2-40B4-BE49-F238E27FC236}">
                <a16:creationId xmlns:a16="http://schemas.microsoft.com/office/drawing/2014/main" id="{DCB35442-6216-467A-BC97-109CD36E5CB5}"/>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=SOMME.SI(C3:C14;C17;D3:D14)</a:t>
            </a:r>
            <a:endParaRPr lang="en-US" sz="2000">
              <a:effectLst/>
              <a:latin typeface="Times New Roman" panose="02020603050405020304" pitchFamily="18" charset="0"/>
              <a:ea typeface="Times New Roman" panose="02020603050405020304" pitchFamily="18" charset="0"/>
            </a:endParaRPr>
          </a:p>
        </xdr:txBody>
      </xdr:sp>
      <xdr:grpSp>
        <xdr:nvGrpSpPr>
          <xdr:cNvPr id="225" name="Group 224">
            <a:extLst>
              <a:ext uri="{FF2B5EF4-FFF2-40B4-BE49-F238E27FC236}">
                <a16:creationId xmlns:a16="http://schemas.microsoft.com/office/drawing/2014/main" id="{32BCCB5A-A2CD-497F-BF2F-258696BB6511}"/>
              </a:ext>
            </a:extLst>
          </xdr:cNvPr>
          <xdr:cNvGrpSpPr/>
        </xdr:nvGrpSpPr>
        <xdr:grpSpPr>
          <a:xfrm>
            <a:off x="3812160" y="4509135"/>
            <a:ext cx="1352550" cy="876467"/>
            <a:chOff x="3812160" y="4509135"/>
            <a:chExt cx="1352550" cy="876467"/>
          </a:xfrm>
        </xdr:grpSpPr>
        <xdr:sp macro="" textlink="">
          <xdr:nvSpPr>
            <xdr:cNvPr id="232" name="FormulaBraceUpper">
              <a:extLst>
                <a:ext uri="{FF2B5EF4-FFF2-40B4-BE49-F238E27FC236}">
                  <a16:creationId xmlns:a16="http://schemas.microsoft.com/office/drawing/2014/main" id="{30BE69DA-1183-4CDD-B940-0CD4E6DE5022}"/>
                </a:ext>
              </a:extLst>
            </xdr:cNvPr>
            <xdr:cNvSpPr/>
          </xdr:nvSpPr>
          <xdr:spPr>
            <a:xfrm rot="5400000">
              <a:off x="4486930" y="4744142"/>
              <a:ext cx="499277" cy="783644"/>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3" name="txt_FormulaCalloutUpper" descr="What range do you want to look at?&#10;&#10;">
              <a:extLst>
                <a:ext uri="{FF2B5EF4-FFF2-40B4-BE49-F238E27FC236}">
                  <a16:creationId xmlns:a16="http://schemas.microsoft.com/office/drawing/2014/main" id="{FC61B534-CB59-4B54-8582-02E46A40345E}"/>
                </a:ext>
              </a:extLst>
            </xdr:cNvPr>
            <xdr:cNvSpPr txBox="1">
              <a:spLocks noChangeArrowheads="1"/>
            </xdr:cNvSpPr>
          </xdr:nvSpPr>
          <xdr:spPr bwMode="auto">
            <a:xfrm>
              <a:off x="3812160" y="4509135"/>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Dans quelle fourchette voulez-vous regarder ?</a:t>
              </a:r>
            </a:p>
          </xdr:txBody>
        </xdr:sp>
      </xdr:grpSp>
      <xdr:grpSp>
        <xdr:nvGrpSpPr>
          <xdr:cNvPr id="226" name="Group 225">
            <a:extLst>
              <a:ext uri="{FF2B5EF4-FFF2-40B4-BE49-F238E27FC236}">
                <a16:creationId xmlns:a16="http://schemas.microsoft.com/office/drawing/2014/main" id="{6FA221CD-940C-4567-B73C-941BDC0DD971}"/>
              </a:ext>
            </a:extLst>
          </xdr:cNvPr>
          <xdr:cNvGrpSpPr/>
        </xdr:nvGrpSpPr>
        <xdr:grpSpPr>
          <a:xfrm>
            <a:off x="5235052" y="4501515"/>
            <a:ext cx="2167698" cy="891539"/>
            <a:chOff x="5235052" y="4501515"/>
            <a:chExt cx="2167698" cy="891539"/>
          </a:xfrm>
        </xdr:grpSpPr>
        <xdr:sp macro="" textlink="">
          <xdr:nvSpPr>
            <xdr:cNvPr id="230" name="FormulaBraceUpper">
              <a:extLst>
                <a:ext uri="{FF2B5EF4-FFF2-40B4-BE49-F238E27FC236}">
                  <a16:creationId xmlns:a16="http://schemas.microsoft.com/office/drawing/2014/main" id="{0F30C154-2F1F-4A51-9F6F-727C94B1953E}"/>
                </a:ext>
              </a:extLst>
            </xdr:cNvPr>
            <xdr:cNvSpPr/>
          </xdr:nvSpPr>
          <xdr:spPr>
            <a:xfrm rot="5400000">
              <a:off x="5840547" y="4798573"/>
              <a:ext cx="506730" cy="68223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1" name="txt_FormulaCalloutUpper" descr="For each match found, what range do you want to sum in?&#10;&#10;">
              <a:extLst>
                <a:ext uri="{FF2B5EF4-FFF2-40B4-BE49-F238E27FC236}">
                  <a16:creationId xmlns:a16="http://schemas.microsoft.com/office/drawing/2014/main" id="{DA6683AA-4CC0-471A-A679-B838AA382F23}"/>
                </a:ext>
              </a:extLst>
            </xdr:cNvPr>
            <xdr:cNvSpPr txBox="1">
              <a:spLocks noChangeArrowheads="1"/>
            </xdr:cNvSpPr>
          </xdr:nvSpPr>
          <xdr:spPr bwMode="auto">
            <a:xfrm>
              <a:off x="5235052" y="4501515"/>
              <a:ext cx="2167698"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Pour chaque correspondance trouvée, quelle plage souhaitez-vous additionner ?</a:t>
              </a:r>
            </a:p>
          </xdr:txBody>
        </xdr:sp>
      </xdr:grpSp>
      <xdr:grpSp>
        <xdr:nvGrpSpPr>
          <xdr:cNvPr id="227" name="Group 226">
            <a:extLst>
              <a:ext uri="{FF2B5EF4-FFF2-40B4-BE49-F238E27FC236}">
                <a16:creationId xmlns:a16="http://schemas.microsoft.com/office/drawing/2014/main" id="{19ECD3AD-6B72-4E46-8FCA-D4C2D3D56A1B}"/>
              </a:ext>
            </a:extLst>
          </xdr:cNvPr>
          <xdr:cNvGrpSpPr/>
        </xdr:nvGrpSpPr>
        <xdr:grpSpPr>
          <a:xfrm>
            <a:off x="4486275" y="5610223"/>
            <a:ext cx="1838325" cy="838202"/>
            <a:chOff x="4486275" y="5610223"/>
            <a:chExt cx="1838325" cy="838202"/>
          </a:xfrm>
        </xdr:grpSpPr>
        <xdr:sp macro="" textlink="">
          <xdr:nvSpPr>
            <xdr:cNvPr id="228" name="FormulaBraceLower">
              <a:extLst>
                <a:ext uri="{FF2B5EF4-FFF2-40B4-BE49-F238E27FC236}">
                  <a16:creationId xmlns:a16="http://schemas.microsoft.com/office/drawing/2014/main" id="{C4C24EC1-E28F-4850-952E-C211297DA95C}"/>
                </a:ext>
              </a:extLst>
            </xdr:cNvPr>
            <xdr:cNvSpPr/>
          </xdr:nvSpPr>
          <xdr:spPr>
            <a:xfrm rot="16200000">
              <a:off x="5151038" y="5612213"/>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29" name="txt_FormulaCalloutLower" descr="What value (text or number) do you want to look for?&#10;&#10;">
              <a:extLst>
                <a:ext uri="{FF2B5EF4-FFF2-40B4-BE49-F238E27FC236}">
                  <a16:creationId xmlns:a16="http://schemas.microsoft.com/office/drawing/2014/main" id="{B9D27F57-F8C2-4EE5-AF26-66707B0E05AE}"/>
                </a:ext>
              </a:extLst>
            </xdr:cNvPr>
            <xdr:cNvSpPr txBox="1">
              <a:spLocks noChangeArrowheads="1"/>
            </xdr:cNvSpPr>
          </xdr:nvSpPr>
          <xdr:spPr bwMode="auto">
            <a:xfrm>
              <a:off x="4486275" y="5962650"/>
              <a:ext cx="1838325" cy="485775"/>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Quelle valeur (texte ou chiffre) souhaitez-vous rechercher ?</a:t>
              </a:r>
            </a:p>
          </xdr:txBody>
        </xdr:sp>
      </xdr:grpSp>
    </xdr:grpSp>
    <xdr:clientData/>
  </xdr:twoCellAnchor>
  <xdr:twoCellAnchor>
    <xdr:from>
      <xdr:col>0</xdr:col>
      <xdr:colOff>371475</xdr:colOff>
      <xdr:row>26</xdr:row>
      <xdr:rowOff>9525</xdr:rowOff>
    </xdr:from>
    <xdr:to>
      <xdr:col>1</xdr:col>
      <xdr:colOff>6088380</xdr:colOff>
      <xdr:row>40</xdr:row>
      <xdr:rowOff>47625</xdr:rowOff>
    </xdr:to>
    <xdr:grpSp>
      <xdr:nvGrpSpPr>
        <xdr:cNvPr id="234" name="Group 233">
          <a:extLst>
            <a:ext uri="{FF2B5EF4-FFF2-40B4-BE49-F238E27FC236}">
              <a16:creationId xmlns:a16="http://schemas.microsoft.com/office/drawing/2014/main" id="{728ED977-068D-4BDD-9900-E7A1A0E01A3A}"/>
            </a:ext>
          </a:extLst>
        </xdr:cNvPr>
        <xdr:cNvGrpSpPr/>
      </xdr:nvGrpSpPr>
      <xdr:grpSpPr>
        <a:xfrm>
          <a:off x="371475" y="5534025"/>
          <a:ext cx="6585585" cy="2667000"/>
          <a:chOff x="3048000" y="2390775"/>
          <a:chExt cx="5762625" cy="2766074"/>
        </a:xfrm>
      </xdr:grpSpPr>
      <xdr:sp macro="" textlink="">
        <xdr:nvSpPr>
          <xdr:cNvPr id="235" name="FormulaBraceLower">
            <a:extLst>
              <a:ext uri="{FF2B5EF4-FFF2-40B4-BE49-F238E27FC236}">
                <a16:creationId xmlns:a16="http://schemas.microsoft.com/office/drawing/2014/main" id="{453E28FE-C60F-4575-A21E-10394924F1B6}"/>
              </a:ext>
            </a:extLst>
          </xdr:cNvPr>
          <xdr:cNvSpPr/>
        </xdr:nvSpPr>
        <xdr:spPr>
          <a:xfrm rot="16200000">
            <a:off x="7473716"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6" name="FormulaBraceLower">
            <a:extLst>
              <a:ext uri="{FF2B5EF4-FFF2-40B4-BE49-F238E27FC236}">
                <a16:creationId xmlns:a16="http://schemas.microsoft.com/office/drawing/2014/main" id="{B085E19B-EB18-43E6-AB6C-14F6D2AFA1F7}"/>
              </a:ext>
            </a:extLst>
          </xdr:cNvPr>
          <xdr:cNvSpPr/>
        </xdr:nvSpPr>
        <xdr:spPr>
          <a:xfrm rot="16200000">
            <a:off x="6001480" y="3669593"/>
            <a:ext cx="499277" cy="913441"/>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37" name="FormulaBraceUpper">
            <a:extLst>
              <a:ext uri="{FF2B5EF4-FFF2-40B4-BE49-F238E27FC236}">
                <a16:creationId xmlns:a16="http://schemas.microsoft.com/office/drawing/2014/main" id="{603AD5F7-68AF-446A-BFE6-540AB775EE0B}"/>
              </a:ext>
            </a:extLst>
          </xdr:cNvPr>
          <xdr:cNvSpPr/>
        </xdr:nvSpPr>
        <xdr:spPr>
          <a:xfrm rot="5400000">
            <a:off x="8183500" y="3159526"/>
            <a:ext cx="499277" cy="48577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8" name="FormulaBraceUpper">
            <a:extLst>
              <a:ext uri="{FF2B5EF4-FFF2-40B4-BE49-F238E27FC236}">
                <a16:creationId xmlns:a16="http://schemas.microsoft.com/office/drawing/2014/main" id="{7F46ED5B-D0A5-48EA-9808-55AA0B5DCFB6}"/>
              </a:ext>
            </a:extLst>
          </xdr:cNvPr>
          <xdr:cNvSpPr/>
        </xdr:nvSpPr>
        <xdr:spPr>
          <a:xfrm rot="5400000">
            <a:off x="6720096" y="3223735"/>
            <a:ext cx="499277" cy="40477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39" name="FormulaBraceUpper">
            <a:extLst>
              <a:ext uri="{FF2B5EF4-FFF2-40B4-BE49-F238E27FC236}">
                <a16:creationId xmlns:a16="http://schemas.microsoft.com/office/drawing/2014/main" id="{2B008E04-D970-4F41-8120-26A572840D06}"/>
              </a:ext>
            </a:extLst>
          </xdr:cNvPr>
          <xdr:cNvSpPr/>
        </xdr:nvSpPr>
        <xdr:spPr>
          <a:xfrm rot="5400000">
            <a:off x="5081629" y="3017621"/>
            <a:ext cx="499277" cy="864422"/>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40" name="txt_Formula" descr="=SUMIFS(H3:H14,F3:F14,F17,G3:G14,G17)&#10;&#10;">
            <a:extLst>
              <a:ext uri="{FF2B5EF4-FFF2-40B4-BE49-F238E27FC236}">
                <a16:creationId xmlns:a16="http://schemas.microsoft.com/office/drawing/2014/main" id="{E8F46D48-F21D-4E81-88FC-9A6B9FD03454}"/>
              </a:ext>
            </a:extLst>
          </xdr:cNvPr>
          <xdr:cNvSpPr txBox="1"/>
        </xdr:nvSpPr>
        <xdr:spPr>
          <a:xfrm>
            <a:off x="3048000" y="3619500"/>
            <a:ext cx="57626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=SOMME.SI.ENS(H3:H14;F3:F14;F17;G3:G14;G17)</a:t>
            </a:r>
            <a:endParaRPr lang="en-US" sz="2000">
              <a:effectLst/>
              <a:latin typeface="Times New Roman" panose="02020603050405020304" pitchFamily="18" charset="0"/>
              <a:ea typeface="Times New Roman" panose="02020603050405020304" pitchFamily="18" charset="0"/>
            </a:endParaRPr>
          </a:p>
        </xdr:txBody>
      </xdr:sp>
      <xdr:sp macro="" textlink="">
        <xdr:nvSpPr>
          <xdr:cNvPr id="241" name="txt_FormulaCalloutUpper" descr="What range do you want to sum?&#10;&#10;">
            <a:extLst>
              <a:ext uri="{FF2B5EF4-FFF2-40B4-BE49-F238E27FC236}">
                <a16:creationId xmlns:a16="http://schemas.microsoft.com/office/drawing/2014/main" id="{5209C66A-5C8F-41D1-8DB2-9F8FD328852E}"/>
              </a:ext>
            </a:extLst>
          </xdr:cNvPr>
          <xdr:cNvSpPr txBox="1">
            <a:spLocks noChangeArrowheads="1"/>
          </xdr:cNvSpPr>
        </xdr:nvSpPr>
        <xdr:spPr bwMode="auto">
          <a:xfrm>
            <a:off x="4869207" y="2438193"/>
            <a:ext cx="920916"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Quelle plage voulez-vous additionner ?</a:t>
            </a:r>
          </a:p>
        </xdr:txBody>
      </xdr:sp>
      <xdr:sp macro="" textlink="">
        <xdr:nvSpPr>
          <xdr:cNvPr id="242" name="txt_FormulaCalloutUpper" descr="This is the criteria for the first match&#10;&#10;">
            <a:extLst>
              <a:ext uri="{FF2B5EF4-FFF2-40B4-BE49-F238E27FC236}">
                <a16:creationId xmlns:a16="http://schemas.microsoft.com/office/drawing/2014/main" id="{286630EC-EA3F-4D50-8FFF-0ED884EEF636}"/>
              </a:ext>
            </a:extLst>
          </xdr:cNvPr>
          <xdr:cNvSpPr txBox="1">
            <a:spLocks noChangeArrowheads="1"/>
          </xdr:cNvSpPr>
        </xdr:nvSpPr>
        <xdr:spPr bwMode="auto">
          <a:xfrm>
            <a:off x="6528425" y="2414484"/>
            <a:ext cx="795286"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Voici le 1er critère à prendre en compte</a:t>
            </a:r>
          </a:p>
        </xdr:txBody>
      </xdr:sp>
      <xdr:sp macro="" textlink="">
        <xdr:nvSpPr>
          <xdr:cNvPr id="243" name="txt_FormulaCalloutUpper" descr="This is the criteria for the second match&#10;">
            <a:extLst>
              <a:ext uri="{FF2B5EF4-FFF2-40B4-BE49-F238E27FC236}">
                <a16:creationId xmlns:a16="http://schemas.microsoft.com/office/drawing/2014/main" id="{B3BB2D28-068F-4AB6-BFAC-B52FC9070566}"/>
              </a:ext>
            </a:extLst>
          </xdr:cNvPr>
          <xdr:cNvSpPr txBox="1">
            <a:spLocks noChangeArrowheads="1"/>
          </xdr:cNvSpPr>
        </xdr:nvSpPr>
        <xdr:spPr bwMode="auto">
          <a:xfrm>
            <a:off x="7820025" y="2390775"/>
            <a:ext cx="973138" cy="8991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Là le 2e critère</a:t>
            </a:r>
          </a:p>
        </xdr:txBody>
      </xdr:sp>
      <xdr:sp macro="" textlink="">
        <xdr:nvSpPr>
          <xdr:cNvPr id="244" name="txt_FormulaCalloutLower" descr="This is the first range to look in for matches&#10;&#10;">
            <a:extLst>
              <a:ext uri="{FF2B5EF4-FFF2-40B4-BE49-F238E27FC236}">
                <a16:creationId xmlns:a16="http://schemas.microsoft.com/office/drawing/2014/main" id="{0209406C-4AC6-478F-BBC6-E1CFFB3DE19A}"/>
              </a:ext>
            </a:extLst>
          </xdr:cNvPr>
          <xdr:cNvSpPr txBox="1">
            <a:spLocks noChangeArrowheads="1"/>
          </xdr:cNvSpPr>
        </xdr:nvSpPr>
        <xdr:spPr bwMode="auto">
          <a:xfrm>
            <a:off x="5390056" y="4257675"/>
            <a:ext cx="1480986"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fr-FR" sz="1100" b="0" i="0">
                <a:effectLst/>
                <a:latin typeface="+mn-lt"/>
                <a:ea typeface="+mn-ea"/>
                <a:cs typeface="+mn-cs"/>
              </a:rPr>
              <a:t>C’est la première fourchette dans laquelle rechercher pour les correspondances</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245" name="txt_FormulaCalloutLower" descr="This is the second range to look in for matches&#10;">
            <a:extLst>
              <a:ext uri="{FF2B5EF4-FFF2-40B4-BE49-F238E27FC236}">
                <a16:creationId xmlns:a16="http://schemas.microsoft.com/office/drawing/2014/main" id="{4ADCD88A-8CD3-475F-887A-B5D4E4DD79EB}"/>
              </a:ext>
            </a:extLst>
          </xdr:cNvPr>
          <xdr:cNvSpPr txBox="1">
            <a:spLocks noChangeArrowheads="1"/>
          </xdr:cNvSpPr>
        </xdr:nvSpPr>
        <xdr:spPr bwMode="auto">
          <a:xfrm>
            <a:off x="7019925" y="4257675"/>
            <a:ext cx="1403969" cy="899174"/>
          </a:xfrm>
          <a:prstGeom prst="rect">
            <a:avLst/>
          </a:prstGeom>
          <a:solidFill>
            <a:srgbClr val="E2F0D9"/>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C’est la deuxième fourchette dans laquelle rechercher pour les correspondances</a:t>
            </a:r>
          </a:p>
        </xdr:txBody>
      </xdr:sp>
    </xdr:grpSp>
    <xdr:clientData/>
  </xdr:twoCellAnchor>
  <xdr:twoCellAnchor>
    <xdr:from>
      <xdr:col>0</xdr:col>
      <xdr:colOff>581025</xdr:colOff>
      <xdr:row>41</xdr:row>
      <xdr:rowOff>133350</xdr:rowOff>
    </xdr:from>
    <xdr:to>
      <xdr:col>1</xdr:col>
      <xdr:colOff>2456367</xdr:colOff>
      <xdr:row>44</xdr:row>
      <xdr:rowOff>92774</xdr:rowOff>
    </xdr:to>
    <xdr:sp macro="" textlink="">
      <xdr:nvSpPr>
        <xdr:cNvPr id="246" name="More detail button" descr="Dive down for more detail">
          <a:hlinkClick xmlns:r="http://schemas.openxmlformats.org/officeDocument/2006/relationships" r:id="rId20"/>
          <a:extLst>
            <a:ext uri="{FF2B5EF4-FFF2-40B4-BE49-F238E27FC236}">
              <a16:creationId xmlns:a16="http://schemas.microsoft.com/office/drawing/2014/main" id="{1C7F4B40-82FF-4BFC-9078-CC27BDDEEE61}"/>
            </a:ext>
          </a:extLst>
        </xdr:cNvPr>
        <xdr:cNvSpPr/>
      </xdr:nvSpPr>
      <xdr:spPr>
        <a:xfrm>
          <a:off x="581025" y="851535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Descendez pour plus de détails</a:t>
          </a:r>
        </a:p>
      </xdr:txBody>
    </xdr:sp>
    <xdr:clientData/>
  </xdr:twoCellAnchor>
  <xdr:twoCellAnchor>
    <xdr:from>
      <xdr:col>0</xdr:col>
      <xdr:colOff>361950</xdr:colOff>
      <xdr:row>87</xdr:row>
      <xdr:rowOff>76200</xdr:rowOff>
    </xdr:from>
    <xdr:to>
      <xdr:col>1</xdr:col>
      <xdr:colOff>6423660</xdr:colOff>
      <xdr:row>111</xdr:row>
      <xdr:rowOff>45951</xdr:rowOff>
    </xdr:to>
    <xdr:grpSp>
      <xdr:nvGrpSpPr>
        <xdr:cNvPr id="247" name="Group 246">
          <a:extLst>
            <a:ext uri="{FF2B5EF4-FFF2-40B4-BE49-F238E27FC236}">
              <a16:creationId xmlns:a16="http://schemas.microsoft.com/office/drawing/2014/main" id="{09584E15-D790-4D76-92D3-066AB32B2FF1}"/>
            </a:ext>
          </a:extLst>
        </xdr:cNvPr>
        <xdr:cNvGrpSpPr/>
      </xdr:nvGrpSpPr>
      <xdr:grpSpPr>
        <a:xfrm>
          <a:off x="361950" y="16855440"/>
          <a:ext cx="6930390" cy="4457931"/>
          <a:chOff x="171450" y="17059274"/>
          <a:chExt cx="5734050" cy="4352925"/>
        </a:xfrm>
      </xdr:grpSpPr>
      <xdr:sp macro="" textlink="">
        <xdr:nvSpPr>
          <xdr:cNvPr id="248" name="txt_TourBackground" descr="Background">
            <a:extLst>
              <a:ext uri="{FF2B5EF4-FFF2-40B4-BE49-F238E27FC236}">
                <a16:creationId xmlns:a16="http://schemas.microsoft.com/office/drawing/2014/main" id="{8E61E9C5-65C2-4369-A6AF-D75ED603CD7B}"/>
              </a:ext>
            </a:extLst>
          </xdr:cNvPr>
          <xdr:cNvSpPr/>
        </xdr:nvSpPr>
        <xdr:spPr>
          <a:xfrm>
            <a:off x="171450" y="17059274"/>
            <a:ext cx="5734050" cy="435292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sp macro="" textlink="">
        <xdr:nvSpPr>
          <xdr:cNvPr id="249" name="txt_TourHeader" descr="More conditional functions">
            <a:extLst>
              <a:ext uri="{FF2B5EF4-FFF2-40B4-BE49-F238E27FC236}">
                <a16:creationId xmlns:a16="http://schemas.microsoft.com/office/drawing/2014/main" id="{D6264DB7-59DD-4D6A-AC81-38A448722642}"/>
              </a:ext>
            </a:extLst>
          </xdr:cNvPr>
          <xdr:cNvSpPr txBox="1"/>
        </xdr:nvSpPr>
        <xdr:spPr>
          <a:xfrm>
            <a:off x="374653" y="17155402"/>
            <a:ext cx="5251444" cy="490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Plus de fonctions conditionnelles</a:t>
            </a:r>
          </a:p>
        </xdr:txBody>
      </xdr:sp>
      <xdr:cxnSp macro="">
        <xdr:nvCxnSpPr>
          <xdr:cNvPr id="250" name="txt_TourLine1" descr="Decorative line">
            <a:extLst>
              <a:ext uri="{FF2B5EF4-FFF2-40B4-BE49-F238E27FC236}">
                <a16:creationId xmlns:a16="http://schemas.microsoft.com/office/drawing/2014/main" id="{0B4852DC-84E1-44B2-B534-237DF994C113}"/>
              </a:ext>
            </a:extLst>
          </xdr:cNvPr>
          <xdr:cNvCxnSpPr>
            <a:cxnSpLocks/>
          </xdr:cNvCxnSpPr>
        </xdr:nvCxnSpPr>
        <xdr:spPr>
          <a:xfrm>
            <a:off x="374653" y="17732171"/>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251" name="txt_TourLine2" descr="Decorative line">
            <a:extLst>
              <a:ext uri="{FF2B5EF4-FFF2-40B4-BE49-F238E27FC236}">
                <a16:creationId xmlns:a16="http://schemas.microsoft.com/office/drawing/2014/main" id="{27456BD0-9A31-4908-B32F-01511DF14E1C}"/>
              </a:ext>
            </a:extLst>
          </xdr:cNvPr>
          <xdr:cNvCxnSpPr>
            <a:cxnSpLocks/>
          </xdr:cNvCxnSpPr>
        </xdr:nvCxnSpPr>
        <xdr:spPr>
          <a:xfrm>
            <a:off x="374653" y="20779189"/>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sp macro="" textlink="">
        <xdr:nvSpPr>
          <xdr:cNvPr id="252" name="txt_TourIntro" descr="You've already seen SUMIF, SUMIFS, COUNTIF, and COUNTIFS. Now you can try on your own with the other functions, such as AVERAGEIF/S, MAXIFS, MINIFS. They're all structured the same way, so once you get one formula written, you can just replace the function name with the one you want. We've written all the functions you'll need for cell E106, so you can copy/paste these, or try to type them yourself for practice.&#10;&#10;SUMIF =SUMIF(C92:C103,C106,E92:E103) &#10;SUMIFS =SUMIFS(E92:E103,C92:C103,C106,D92:D103,D106) &#10;AVERAGEIF =AVERAGEIF(C92:C103,C106,E92:E103) &#10;AVERAGEIFS=AVERAGEIFS(E92:E103,C92:C103,C106,D92:D92,D106)&#10;COUNTIF =COUNTIF(C92:C103,C106)&#10;COUNTIFS =COUNTIFS(C92:C103,C106,D92:D103,D106) &#10;MAXIFS =MAXIFS(E92:E103,C92:C103,C106,D92:D103,D106)&#10;MINIFS =MINIFS(E92:E103,C92:C103,C106,D92:D103,D106)&#10;&#10;">
            <a:extLst>
              <a:ext uri="{FF2B5EF4-FFF2-40B4-BE49-F238E27FC236}">
                <a16:creationId xmlns:a16="http://schemas.microsoft.com/office/drawing/2014/main" id="{1BA6A4CB-C9C6-48DA-B0EE-C70E988CD89B}"/>
              </a:ext>
            </a:extLst>
          </xdr:cNvPr>
          <xdr:cNvSpPr txBox="1"/>
        </xdr:nvSpPr>
        <xdr:spPr>
          <a:xfrm>
            <a:off x="381163" y="17765894"/>
            <a:ext cx="5257638" cy="1339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Vous avez déjà vu SOMME.SI, SOMME.SI.ENS, NB.SI et NB.SI.ENS. Maintenant, vous pouvez essayer par vous-même avec les autres fonctions, telles que MOYENNE.SI/ENS, MAX.SI.ENS, MIN.SI.ENS. Ils sont tous structurés de la même manière, donc une fois que vous avez écrit une formule, vous pouvez simplement remplacer le nom de la fonction par celui que vous voulez. Nous avons écrit toutes les fonctions dont vous aurez besoin pour la cellule E106, vous pouvez donc les copier/coller, ou essayer de les taper vous-même pour vous entraîner.</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SOMME.SI 		=SOMME.SI(C92:C103;C106;E92:E103)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SOMME.SI.ENS 	=SOMME.SI.ENS(E92:E103;C92:C103;C106;D92:D103;D106)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MOYENNE.SI	 	=MOYENNE.SI(C92:C103;C106;E92:E103)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MOYENNE.SI.ENS	=MOYENNE.SI.ENS(E92:E103;C92:C103;C106;D92:D92;D106)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NB.SI	 	=NB.SI(C92:C103;C106)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NB.SI.ENS	 	=NB.SI.ENS(C92:C103;C106;D92:D103;D106) </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MAX.SI.ENS	 	=MAX.SI.ENS(E92:E103;C92:C103;C106;D92:D103;D106)</a:t>
            </a:r>
          </a:p>
          <a:p>
            <a:pPr marL="0" marR="0" lvl="0" indent="0" defTabSz="914400" eaLnBrk="1" fontAlgn="auto" latinLnBrk="0" hangingPunct="1">
              <a:lnSpc>
                <a:spcPct val="100000"/>
              </a:lnSpc>
              <a:spcBef>
                <a:spcPts val="0"/>
              </a:spcBef>
              <a:spcAft>
                <a:spcPts val="0"/>
              </a:spcAft>
              <a:buClrTx/>
              <a:buSzTx/>
              <a:buFontTx/>
              <a:buNone/>
              <a:tabLst/>
              <a:defRPr/>
            </a:pP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MIN.SI.ENS	 	=MIN.SI.ENS(E92:E103;C92:C103;C106;D92:D103;D106)</a:t>
            </a: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grpSp>
    <xdr:clientData/>
  </xdr:twoCellAnchor>
  <xdr:twoCellAnchor editAs="absolute">
    <xdr:from>
      <xdr:col>1</xdr:col>
      <xdr:colOff>3675111</xdr:colOff>
      <xdr:row>108</xdr:row>
      <xdr:rowOff>104775</xdr:rowOff>
    </xdr:from>
    <xdr:to>
      <xdr:col>1</xdr:col>
      <xdr:colOff>4950281</xdr:colOff>
      <xdr:row>110</xdr:row>
      <xdr:rowOff>59224</xdr:rowOff>
    </xdr:to>
    <xdr:sp macro="" textlink="">
      <xdr:nvSpPr>
        <xdr:cNvPr id="254" name="NextButton" descr="Advance to the next sheet">
          <a:hlinkClick xmlns:r="http://schemas.openxmlformats.org/officeDocument/2006/relationships" r:id="rId3" tooltip="Click here to advance to the next sheet"/>
          <a:extLst>
            <a:ext uri="{FF2B5EF4-FFF2-40B4-BE49-F238E27FC236}">
              <a16:creationId xmlns:a16="http://schemas.microsoft.com/office/drawing/2014/main" id="{9817BA26-3F9D-4337-96B5-9647A836BC8B}"/>
            </a:ext>
          </a:extLst>
        </xdr:cNvPr>
        <xdr:cNvSpPr/>
      </xdr:nvSpPr>
      <xdr:spPr>
        <a:xfrm>
          <a:off x="4522836" y="21288375"/>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Next</a:t>
          </a:r>
        </a:p>
      </xdr:txBody>
    </xdr:sp>
    <xdr:clientData fPrintsWithSheet="0"/>
  </xdr:twoCellAnchor>
  <xdr:twoCellAnchor editAs="absolute">
    <xdr:from>
      <xdr:col>0</xdr:col>
      <xdr:colOff>384810</xdr:colOff>
      <xdr:row>45</xdr:row>
      <xdr:rowOff>133351</xdr:rowOff>
    </xdr:from>
    <xdr:to>
      <xdr:col>1</xdr:col>
      <xdr:colOff>6446520</xdr:colOff>
      <xdr:row>86</xdr:row>
      <xdr:rowOff>171451</xdr:rowOff>
    </xdr:to>
    <xdr:sp macro="" textlink="">
      <xdr:nvSpPr>
        <xdr:cNvPr id="255" name="Background" descr="Background">
          <a:extLst>
            <a:ext uri="{FF2B5EF4-FFF2-40B4-BE49-F238E27FC236}">
              <a16:creationId xmlns:a16="http://schemas.microsoft.com/office/drawing/2014/main" id="{59826756-6574-4AD7-87F3-D5BE531411BB}"/>
            </a:ext>
          </a:extLst>
        </xdr:cNvPr>
        <xdr:cNvSpPr/>
      </xdr:nvSpPr>
      <xdr:spPr>
        <a:xfrm>
          <a:off x="384810" y="9201151"/>
          <a:ext cx="6930390" cy="756666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547701</xdr:colOff>
      <xdr:row>49</xdr:row>
      <xdr:rowOff>15240</xdr:rowOff>
    </xdr:from>
    <xdr:to>
      <xdr:col>1</xdr:col>
      <xdr:colOff>5996940</xdr:colOff>
      <xdr:row>49</xdr:row>
      <xdr:rowOff>38100</xdr:rowOff>
    </xdr:to>
    <xdr:cxnSp macro="">
      <xdr:nvCxnSpPr>
        <xdr:cNvPr id="256" name="Bottom line" descr="Decorative line">
          <a:extLst>
            <a:ext uri="{FF2B5EF4-FFF2-40B4-BE49-F238E27FC236}">
              <a16:creationId xmlns:a16="http://schemas.microsoft.com/office/drawing/2014/main" id="{B4FBAF4C-2650-48DA-8BD4-CB9BC3AD86EB}"/>
            </a:ext>
          </a:extLst>
        </xdr:cNvPr>
        <xdr:cNvCxnSpPr>
          <a:cxnSpLocks/>
        </xdr:cNvCxnSpPr>
      </xdr:nvCxnSpPr>
      <xdr:spPr>
        <a:xfrm flipV="1">
          <a:off x="547701" y="9814560"/>
          <a:ext cx="6317919" cy="2286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547701</xdr:colOff>
      <xdr:row>46</xdr:row>
      <xdr:rowOff>38100</xdr:rowOff>
    </xdr:from>
    <xdr:to>
      <xdr:col>1</xdr:col>
      <xdr:colOff>6033778</xdr:colOff>
      <xdr:row>48</xdr:row>
      <xdr:rowOff>142942</xdr:rowOff>
    </xdr:to>
    <xdr:sp macro="" textlink="">
      <xdr:nvSpPr>
        <xdr:cNvPr id="257" name="Step" descr="Conditional functions - COUNTIF&#10;">
          <a:extLst>
            <a:ext uri="{FF2B5EF4-FFF2-40B4-BE49-F238E27FC236}">
              <a16:creationId xmlns:a16="http://schemas.microsoft.com/office/drawing/2014/main" id="{4F5A7CA7-2EE0-4987-96BE-26C1F64A94A4}"/>
            </a:ext>
          </a:extLst>
        </xdr:cNvPr>
        <xdr:cNvSpPr txBox="1"/>
      </xdr:nvSpPr>
      <xdr:spPr>
        <a:xfrm>
          <a:off x="547701" y="9288780"/>
          <a:ext cx="6354757" cy="4706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Fonctions conditionnelles - NB.SI</a:t>
          </a:r>
        </a:p>
      </xdr:txBody>
    </xdr:sp>
    <xdr:clientData/>
  </xdr:twoCellAnchor>
  <xdr:twoCellAnchor editAs="absolute">
    <xdr:from>
      <xdr:col>0</xdr:col>
      <xdr:colOff>547701</xdr:colOff>
      <xdr:row>82</xdr:row>
      <xdr:rowOff>87842</xdr:rowOff>
    </xdr:from>
    <xdr:to>
      <xdr:col>1</xdr:col>
      <xdr:colOff>6217920</xdr:colOff>
      <xdr:row>82</xdr:row>
      <xdr:rowOff>114300</xdr:rowOff>
    </xdr:to>
    <xdr:cxnSp macro="">
      <xdr:nvCxnSpPr>
        <xdr:cNvPr id="258" name="Bottom line" descr="Decorative line">
          <a:extLst>
            <a:ext uri="{FF2B5EF4-FFF2-40B4-BE49-F238E27FC236}">
              <a16:creationId xmlns:a16="http://schemas.microsoft.com/office/drawing/2014/main" id="{C9452A63-9B04-434E-9908-862D1547B71D}"/>
            </a:ext>
          </a:extLst>
        </xdr:cNvPr>
        <xdr:cNvCxnSpPr>
          <a:cxnSpLocks/>
        </xdr:cNvCxnSpPr>
      </xdr:nvCxnSpPr>
      <xdr:spPr>
        <a:xfrm>
          <a:off x="547701" y="15952682"/>
          <a:ext cx="6538899" cy="26458"/>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561975</xdr:colOff>
      <xdr:row>49</xdr:row>
      <xdr:rowOff>38100</xdr:rowOff>
    </xdr:from>
    <xdr:to>
      <xdr:col>1</xdr:col>
      <xdr:colOff>6107707</xdr:colOff>
      <xdr:row>50</xdr:row>
      <xdr:rowOff>88247</xdr:rowOff>
    </xdr:to>
    <xdr:sp macro="" textlink="">
      <xdr:nvSpPr>
        <xdr:cNvPr id="259" name="Add numbers introduction" descr="COUNTIF and COUNTIFS let you count values in a range based on a criteria you specify. They're a bit different from the other IF and IFS functions, in that they only have a criteria range, and criteria. They don't evalute one range, then look in another to summarize.&#10;&#10;">
          <a:extLst>
            <a:ext uri="{FF2B5EF4-FFF2-40B4-BE49-F238E27FC236}">
              <a16:creationId xmlns:a16="http://schemas.microsoft.com/office/drawing/2014/main" id="{FD69C356-A3A0-4ACC-9509-4D5AB4574A46}"/>
            </a:ext>
          </a:extLst>
        </xdr:cNvPr>
        <xdr:cNvSpPr txBox="1"/>
      </xdr:nvSpPr>
      <xdr:spPr>
        <a:xfrm>
          <a:off x="561975" y="9837420"/>
          <a:ext cx="6414412" cy="2330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kern="1200">
              <a:solidFill>
                <a:schemeClr val="dk1"/>
              </a:solidFill>
              <a:latin typeface="Segoe UI" panose="020B0502040204020203" pitchFamily="34" charset="0"/>
              <a:ea typeface="+mn-ea"/>
              <a:cs typeface="Segoe UI" panose="020B0502040204020203" pitchFamily="34" charset="0"/>
            </a:rPr>
            <a:t>NB.SI</a:t>
          </a:r>
          <a:r>
            <a:rPr lang="en-US" sz="1100" kern="1200">
              <a:solidFill>
                <a:schemeClr val="dk1"/>
              </a:solidFill>
              <a:latin typeface="Segoe UI" panose="020B0502040204020203" pitchFamily="34" charset="0"/>
              <a:ea typeface="+mn-ea"/>
              <a:cs typeface="Segoe UI" panose="020B0502040204020203" pitchFamily="34" charset="0"/>
            </a:rPr>
            <a:t> et </a:t>
          </a:r>
          <a:r>
            <a:rPr lang="en-US" sz="1100" b="1" kern="1200" baseline="0">
              <a:solidFill>
                <a:schemeClr val="dk1"/>
              </a:solidFill>
              <a:latin typeface="Segoe UI" panose="020B0502040204020203" pitchFamily="34" charset="0"/>
              <a:ea typeface="+mn-ea"/>
              <a:cs typeface="Segoe UI" panose="020B0502040204020203" pitchFamily="34" charset="0"/>
            </a:rPr>
            <a:t>NB.SI.ENS</a:t>
          </a:r>
          <a:r>
            <a:rPr lang="en-US" sz="1100" kern="1200" baseline="0">
              <a:solidFill>
                <a:schemeClr val="dk1"/>
              </a:solidFill>
              <a:latin typeface="Segoe UI" panose="020B0502040204020203" pitchFamily="34" charset="0"/>
              <a:ea typeface="+mn-ea"/>
              <a:cs typeface="Segoe UI" panose="020B0502040204020203" pitchFamily="34" charset="0"/>
            </a:rPr>
            <a:t> compte le nombre de cellules d’une plage qui répondent à un critère spécifique que vous spécifiez. . Elles sont un peu différentes des autres fonctions SI et SI.ENS, en ce sens qu’elles n'examinent qu'une seule fourchette de plage  avec un seul critère. Ils n’évaluent pas une gamme, puis examinent une autre pour résumer.</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533247</xdr:colOff>
      <xdr:row>53</xdr:row>
      <xdr:rowOff>86073</xdr:rowOff>
    </xdr:from>
    <xdr:to>
      <xdr:col>1</xdr:col>
      <xdr:colOff>4913242</xdr:colOff>
      <xdr:row>56</xdr:row>
      <xdr:rowOff>70431</xdr:rowOff>
    </xdr:to>
    <xdr:grpSp>
      <xdr:nvGrpSpPr>
        <xdr:cNvPr id="7" name="Group 6">
          <a:extLst>
            <a:ext uri="{FF2B5EF4-FFF2-40B4-BE49-F238E27FC236}">
              <a16:creationId xmlns:a16="http://schemas.microsoft.com/office/drawing/2014/main" id="{C3BD1A07-2431-425E-86AC-0511A2AC3600}"/>
            </a:ext>
          </a:extLst>
        </xdr:cNvPr>
        <xdr:cNvGrpSpPr/>
      </xdr:nvGrpSpPr>
      <xdr:grpSpPr>
        <a:xfrm>
          <a:off x="533247" y="10616913"/>
          <a:ext cx="5248675" cy="532998"/>
          <a:chOff x="571500" y="10751424"/>
          <a:chExt cx="5227690" cy="554249"/>
        </a:xfrm>
      </xdr:grpSpPr>
      <xdr:sp macro="" textlink="">
        <xdr:nvSpPr>
          <xdr:cNvPr id="261" name="txt_Step" descr="Select cell D64 and type =COUNTIF(C50:C61,C64). COUNTIF is structured like this:&#10;&#10;">
            <a:extLst>
              <a:ext uri="{FF2B5EF4-FFF2-40B4-BE49-F238E27FC236}">
                <a16:creationId xmlns:a16="http://schemas.microsoft.com/office/drawing/2014/main" id="{5A24FD00-3141-43E5-BFED-59C3725C0920}"/>
              </a:ext>
            </a:extLst>
          </xdr:cNvPr>
          <xdr:cNvSpPr txBox="1"/>
        </xdr:nvSpPr>
        <xdr:spPr>
          <a:xfrm>
            <a:off x="989446" y="10751424"/>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Sélectionnez la cellule D64 et tapez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=NB.SI(C50:C61;C64)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NB.SI</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est structuré comme suit :</a:t>
            </a:r>
          </a:p>
        </xdr:txBody>
      </xdr:sp>
      <xdr:sp macro="" textlink="">
        <xdr:nvSpPr>
          <xdr:cNvPr id="262" name="shp_Step" descr="1">
            <a:extLst>
              <a:ext uri="{FF2B5EF4-FFF2-40B4-BE49-F238E27FC236}">
                <a16:creationId xmlns:a16="http://schemas.microsoft.com/office/drawing/2014/main" id="{99FDB969-22B0-46E6-8435-35519D649D90}"/>
              </a:ext>
            </a:extLst>
          </xdr:cNvPr>
          <xdr:cNvSpPr/>
        </xdr:nvSpPr>
        <xdr:spPr>
          <a:xfrm>
            <a:off x="571500" y="1082040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1</xdr:col>
      <xdr:colOff>3733801</xdr:colOff>
      <xdr:row>83</xdr:row>
      <xdr:rowOff>78316</xdr:rowOff>
    </xdr:from>
    <xdr:to>
      <xdr:col>1</xdr:col>
      <xdr:colOff>4878004</xdr:colOff>
      <xdr:row>85</xdr:row>
      <xdr:rowOff>45390</xdr:rowOff>
    </xdr:to>
    <xdr:sp macro="" textlink="">
      <xdr:nvSpPr>
        <xdr:cNvPr id="263" name="NextButton" descr="Advance to the next sheet">
          <a:hlinkClick xmlns:r="http://schemas.openxmlformats.org/officeDocument/2006/relationships" r:id="rId3" tooltip="Click here to advance to the next worksheet"/>
          <a:extLst>
            <a:ext uri="{FF2B5EF4-FFF2-40B4-BE49-F238E27FC236}">
              <a16:creationId xmlns:a16="http://schemas.microsoft.com/office/drawing/2014/main" id="{D6D142FA-1F43-4673-883C-435BE4A5BB46}"/>
            </a:ext>
          </a:extLst>
        </xdr:cNvPr>
        <xdr:cNvSpPr/>
      </xdr:nvSpPr>
      <xdr:spPr>
        <a:xfrm>
          <a:off x="4581526" y="16499416"/>
          <a:ext cx="1144203" cy="348074"/>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Suivant</a:t>
          </a:r>
        </a:p>
      </xdr:txBody>
    </xdr:sp>
    <xdr:clientData/>
  </xdr:twoCellAnchor>
  <xdr:twoCellAnchor editAs="absolute">
    <xdr:from>
      <xdr:col>0</xdr:col>
      <xdr:colOff>525394</xdr:colOff>
      <xdr:row>66</xdr:row>
      <xdr:rowOff>47621</xdr:rowOff>
    </xdr:from>
    <xdr:to>
      <xdr:col>1</xdr:col>
      <xdr:colOff>5973694</xdr:colOff>
      <xdr:row>73</xdr:row>
      <xdr:rowOff>83816</xdr:rowOff>
    </xdr:to>
    <xdr:grpSp>
      <xdr:nvGrpSpPr>
        <xdr:cNvPr id="6" name="Group 5">
          <a:extLst>
            <a:ext uri="{FF2B5EF4-FFF2-40B4-BE49-F238E27FC236}">
              <a16:creationId xmlns:a16="http://schemas.microsoft.com/office/drawing/2014/main" id="{0DA1DA82-7F55-47D3-8AE9-D782CB1AADE4}"/>
            </a:ext>
          </a:extLst>
        </xdr:cNvPr>
        <xdr:cNvGrpSpPr/>
      </xdr:nvGrpSpPr>
      <xdr:grpSpPr>
        <a:xfrm>
          <a:off x="525394" y="12986381"/>
          <a:ext cx="6316980" cy="1316355"/>
          <a:chOff x="571500" y="13230225"/>
          <a:chExt cx="5220101" cy="1368840"/>
        </a:xfrm>
      </xdr:grpSpPr>
      <xdr:sp macro="" textlink="">
        <xdr:nvSpPr>
          <xdr:cNvPr id="265" name="txt_Step" descr="COUNTIFS is the same as SUMIF, but it lets you use multiple criteria. So in this example, you can look for Fruit and Type, instead of just by Fruit. Select cell H64 and type =COUNTIFS(F50:F61,F64,G50:G61,G64). COUNTIFS is structured like this:&#10;&#10;&#10;">
            <a:extLst>
              <a:ext uri="{FF2B5EF4-FFF2-40B4-BE49-F238E27FC236}">
                <a16:creationId xmlns:a16="http://schemas.microsoft.com/office/drawing/2014/main" id="{FA9C0F1D-374A-480D-BD12-25CF4F963447}"/>
              </a:ext>
            </a:extLst>
          </xdr:cNvPr>
          <xdr:cNvSpPr txBox="1"/>
        </xdr:nvSpPr>
        <xdr:spPr>
          <a:xfrm>
            <a:off x="981857" y="13272183"/>
            <a:ext cx="4809744" cy="1326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La fonction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NB.SI.ENS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applique les critères aux cellules de plusieurs plages et compte le nombre de fois où tous les critères sont remplis. Ainsi, dans cet exemple, vous pouvez rechercher Fruit et Type, au lieu de simplement par Fruit. Sélectionnez la cellule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H64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et tapez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=NB.SI.ENS(F50:F61;F64;G50:G61;G64)</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NB.SI.ENS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est structuré comme ceci :</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266" name="shp_Step" descr="2">
            <a:extLst>
              <a:ext uri="{FF2B5EF4-FFF2-40B4-BE49-F238E27FC236}">
                <a16:creationId xmlns:a16="http://schemas.microsoft.com/office/drawing/2014/main" id="{01BEDDF5-7F0E-40BD-AB8B-30CD8617713C}"/>
              </a:ext>
            </a:extLst>
          </xdr:cNvPr>
          <xdr:cNvSpPr/>
        </xdr:nvSpPr>
        <xdr:spPr>
          <a:xfrm>
            <a:off x="571500" y="1323022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xdr:from>
      <xdr:col>1</xdr:col>
      <xdr:colOff>190500</xdr:colOff>
      <xdr:row>55</xdr:row>
      <xdr:rowOff>140968</xdr:rowOff>
    </xdr:from>
    <xdr:to>
      <xdr:col>1</xdr:col>
      <xdr:colOff>4162425</xdr:colOff>
      <xdr:row>65</xdr:row>
      <xdr:rowOff>129536</xdr:rowOff>
    </xdr:to>
    <xdr:grpSp>
      <xdr:nvGrpSpPr>
        <xdr:cNvPr id="267" name="Group 266">
          <a:extLst>
            <a:ext uri="{FF2B5EF4-FFF2-40B4-BE49-F238E27FC236}">
              <a16:creationId xmlns:a16="http://schemas.microsoft.com/office/drawing/2014/main" id="{E8932D15-E179-42A0-91A2-EDDEA215314C}"/>
            </a:ext>
          </a:extLst>
        </xdr:cNvPr>
        <xdr:cNvGrpSpPr/>
      </xdr:nvGrpSpPr>
      <xdr:grpSpPr>
        <a:xfrm>
          <a:off x="1059180" y="11037568"/>
          <a:ext cx="3971925" cy="1847848"/>
          <a:chOff x="3048000" y="4532181"/>
          <a:chExt cx="3971925" cy="1892827"/>
        </a:xfrm>
      </xdr:grpSpPr>
      <xdr:sp macro="" textlink="">
        <xdr:nvSpPr>
          <xdr:cNvPr id="268" name="txt_Formula" descr="=COUNTIF(C50:C61,C64)&#10;">
            <a:extLst>
              <a:ext uri="{FF2B5EF4-FFF2-40B4-BE49-F238E27FC236}">
                <a16:creationId xmlns:a16="http://schemas.microsoft.com/office/drawing/2014/main" id="{D17C46BB-8EDD-4801-A739-F49A4AD6B9C6}"/>
              </a:ext>
            </a:extLst>
          </xdr:cNvPr>
          <xdr:cNvSpPr txBox="1"/>
        </xdr:nvSpPr>
        <xdr:spPr>
          <a:xfrm>
            <a:off x="3048000" y="5334000"/>
            <a:ext cx="3971925" cy="531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=NB.SI(C50:C61;C64)</a:t>
            </a:r>
            <a:endParaRPr lang="en-US" sz="2000">
              <a:effectLst/>
              <a:latin typeface="Times New Roman" panose="02020603050405020304" pitchFamily="18" charset="0"/>
              <a:ea typeface="Times New Roman" panose="02020603050405020304" pitchFamily="18" charset="0"/>
            </a:endParaRPr>
          </a:p>
        </xdr:txBody>
      </xdr:sp>
      <xdr:grpSp>
        <xdr:nvGrpSpPr>
          <xdr:cNvPr id="269" name="Group 268">
            <a:extLst>
              <a:ext uri="{FF2B5EF4-FFF2-40B4-BE49-F238E27FC236}">
                <a16:creationId xmlns:a16="http://schemas.microsoft.com/office/drawing/2014/main" id="{37527305-6134-452A-8E72-EC503505A6ED}"/>
              </a:ext>
            </a:extLst>
          </xdr:cNvPr>
          <xdr:cNvGrpSpPr/>
        </xdr:nvGrpSpPr>
        <xdr:grpSpPr>
          <a:xfrm>
            <a:off x="3928110" y="4532181"/>
            <a:ext cx="1352550" cy="861227"/>
            <a:chOff x="3928110" y="4532181"/>
            <a:chExt cx="1352550" cy="861227"/>
          </a:xfrm>
        </xdr:grpSpPr>
        <xdr:sp macro="" textlink="">
          <xdr:nvSpPr>
            <xdr:cNvPr id="273" name="FormulaBraceUpper">
              <a:extLst>
                <a:ext uri="{FF2B5EF4-FFF2-40B4-BE49-F238E27FC236}">
                  <a16:creationId xmlns:a16="http://schemas.microsoft.com/office/drawing/2014/main" id="{36B585B0-0CA8-40C9-B8A4-354751F708F4}"/>
                </a:ext>
              </a:extLst>
            </xdr:cNvPr>
            <xdr:cNvSpPr/>
          </xdr:nvSpPr>
          <xdr:spPr>
            <a:xfrm rot="5400000">
              <a:off x="4354746" y="4610370"/>
              <a:ext cx="499277" cy="106680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4" name="txt_FormulaCalloutUpper" descr="What range do you want to look at?&#10;">
              <a:extLst>
                <a:ext uri="{FF2B5EF4-FFF2-40B4-BE49-F238E27FC236}">
                  <a16:creationId xmlns:a16="http://schemas.microsoft.com/office/drawing/2014/main" id="{34D80480-D101-45AC-B9CF-78D23DC421E6}"/>
                </a:ext>
              </a:extLst>
            </xdr:cNvPr>
            <xdr:cNvSpPr txBox="1">
              <a:spLocks noChangeArrowheads="1"/>
            </xdr:cNvSpPr>
          </xdr:nvSpPr>
          <xdr:spPr bwMode="auto">
            <a:xfrm>
              <a:off x="3928110" y="4532181"/>
              <a:ext cx="1352550" cy="499123"/>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Quelle plage voulez-vous regarder ?</a:t>
              </a:r>
            </a:p>
          </xdr:txBody>
        </xdr:sp>
      </xdr:grpSp>
      <xdr:grpSp>
        <xdr:nvGrpSpPr>
          <xdr:cNvPr id="270" name="Group 269">
            <a:extLst>
              <a:ext uri="{FF2B5EF4-FFF2-40B4-BE49-F238E27FC236}">
                <a16:creationId xmlns:a16="http://schemas.microsoft.com/office/drawing/2014/main" id="{2CCDD87F-488A-4F59-94B0-9890040AE4A5}"/>
              </a:ext>
            </a:extLst>
          </xdr:cNvPr>
          <xdr:cNvGrpSpPr/>
        </xdr:nvGrpSpPr>
        <xdr:grpSpPr>
          <a:xfrm>
            <a:off x="4659630" y="5586807"/>
            <a:ext cx="2015490" cy="838201"/>
            <a:chOff x="4659630" y="5586807"/>
            <a:chExt cx="2015490" cy="838201"/>
          </a:xfrm>
        </xdr:grpSpPr>
        <xdr:sp macro="" textlink="">
          <xdr:nvSpPr>
            <xdr:cNvPr id="271" name="FormulaBraceLower">
              <a:extLst>
                <a:ext uri="{FF2B5EF4-FFF2-40B4-BE49-F238E27FC236}">
                  <a16:creationId xmlns:a16="http://schemas.microsoft.com/office/drawing/2014/main" id="{A61DA540-4BFA-41A7-A504-CCFAB774EC94}"/>
                </a:ext>
              </a:extLst>
            </xdr:cNvPr>
            <xdr:cNvSpPr/>
          </xdr:nvSpPr>
          <xdr:spPr>
            <a:xfrm rot="16200000">
              <a:off x="5324393" y="5588797"/>
              <a:ext cx="499277" cy="49529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2" name="txt_FormulaCalloutLower" descr="What value (text or number) do you want to look for?&#10;">
              <a:extLst>
                <a:ext uri="{FF2B5EF4-FFF2-40B4-BE49-F238E27FC236}">
                  <a16:creationId xmlns:a16="http://schemas.microsoft.com/office/drawing/2014/main" id="{73BBFD57-E525-4CF9-A6E9-242691515557}"/>
                </a:ext>
              </a:extLst>
            </xdr:cNvPr>
            <xdr:cNvSpPr txBox="1">
              <a:spLocks noChangeArrowheads="1"/>
            </xdr:cNvSpPr>
          </xdr:nvSpPr>
          <xdr:spPr bwMode="auto">
            <a:xfrm>
              <a:off x="4659630" y="5939233"/>
              <a:ext cx="2015490" cy="485775"/>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Quelle valeur (texte ou chiffre) souhaitez-vous rechercher ?</a:t>
              </a:r>
            </a:p>
          </xdr:txBody>
        </xdr:sp>
      </xdr:grpSp>
    </xdr:grpSp>
    <xdr:clientData/>
  </xdr:twoCellAnchor>
  <xdr:twoCellAnchor>
    <xdr:from>
      <xdr:col>0</xdr:col>
      <xdr:colOff>619125</xdr:colOff>
      <xdr:row>71</xdr:row>
      <xdr:rowOff>47610</xdr:rowOff>
    </xdr:from>
    <xdr:to>
      <xdr:col>1</xdr:col>
      <xdr:colOff>5547642</xdr:colOff>
      <xdr:row>81</xdr:row>
      <xdr:rowOff>85893</xdr:rowOff>
    </xdr:to>
    <xdr:grpSp>
      <xdr:nvGrpSpPr>
        <xdr:cNvPr id="275" name="Group 274">
          <a:extLst>
            <a:ext uri="{FF2B5EF4-FFF2-40B4-BE49-F238E27FC236}">
              <a16:creationId xmlns:a16="http://schemas.microsoft.com/office/drawing/2014/main" id="{847274C0-AC26-4344-B2CE-53D60DDD0425}"/>
            </a:ext>
          </a:extLst>
        </xdr:cNvPr>
        <xdr:cNvGrpSpPr/>
      </xdr:nvGrpSpPr>
      <xdr:grpSpPr>
        <a:xfrm>
          <a:off x="619125" y="13900770"/>
          <a:ext cx="5797197" cy="1867083"/>
          <a:chOff x="638175" y="14144607"/>
          <a:chExt cx="5267326" cy="1972287"/>
        </a:xfrm>
      </xdr:grpSpPr>
      <xdr:sp macro="" textlink="">
        <xdr:nvSpPr>
          <xdr:cNvPr id="276" name="FormulaBraceLower">
            <a:extLst>
              <a:ext uri="{FF2B5EF4-FFF2-40B4-BE49-F238E27FC236}">
                <a16:creationId xmlns:a16="http://schemas.microsoft.com/office/drawing/2014/main" id="{97A01290-7C21-4B89-985F-9ACD27071CF1}"/>
              </a:ext>
            </a:extLst>
          </xdr:cNvPr>
          <xdr:cNvSpPr/>
        </xdr:nvSpPr>
        <xdr:spPr>
          <a:xfrm rot="16200000">
            <a:off x="4900092" y="15262849"/>
            <a:ext cx="495146" cy="443895"/>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7" name="FormulaBraceLower">
            <a:extLst>
              <a:ext uri="{FF2B5EF4-FFF2-40B4-BE49-F238E27FC236}">
                <a16:creationId xmlns:a16="http://schemas.microsoft.com/office/drawing/2014/main" id="{FBA8E8F9-1C1F-46A9-819E-ED4261288C76}"/>
              </a:ext>
            </a:extLst>
          </xdr:cNvPr>
          <xdr:cNvSpPr/>
        </xdr:nvSpPr>
        <xdr:spPr>
          <a:xfrm rot="16200000">
            <a:off x="3214495" y="15276710"/>
            <a:ext cx="495146" cy="432270"/>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marL="0" indent="0"/>
            <a:endParaRPr lang="en-US" sz="1100">
              <a:solidFill>
                <a:schemeClr val="tx1"/>
              </a:solidFill>
              <a:latin typeface="+mn-lt"/>
              <a:ea typeface="+mn-ea"/>
              <a:cs typeface="+mn-cs"/>
            </a:endParaRPr>
          </a:p>
        </xdr:txBody>
      </xdr:sp>
      <xdr:sp macro="" textlink="">
        <xdr:nvSpPr>
          <xdr:cNvPr id="278" name="FormulaBraceUpper">
            <a:extLst>
              <a:ext uri="{FF2B5EF4-FFF2-40B4-BE49-F238E27FC236}">
                <a16:creationId xmlns:a16="http://schemas.microsoft.com/office/drawing/2014/main" id="{44603805-5C4E-4370-B762-A5B53406A8B3}"/>
              </a:ext>
            </a:extLst>
          </xdr:cNvPr>
          <xdr:cNvSpPr/>
        </xdr:nvSpPr>
        <xdr:spPr>
          <a:xfrm rot="5400000">
            <a:off x="4051276" y="14286656"/>
            <a:ext cx="495146" cy="976558"/>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79" name="FormulaBraceUpper">
            <a:extLst>
              <a:ext uri="{FF2B5EF4-FFF2-40B4-BE49-F238E27FC236}">
                <a16:creationId xmlns:a16="http://schemas.microsoft.com/office/drawing/2014/main" id="{02E6B0A4-8693-43A2-A27C-ECA0F01F93E4}"/>
              </a:ext>
            </a:extLst>
          </xdr:cNvPr>
          <xdr:cNvSpPr/>
        </xdr:nvSpPr>
        <xdr:spPr>
          <a:xfrm rot="5400000">
            <a:off x="2413320" y="14268220"/>
            <a:ext cx="495146" cy="997326"/>
          </a:xfrm>
          <a:prstGeom prst="leftBrace">
            <a:avLst/>
          </a:prstGeom>
        </xdr:spPr>
        <xdr:style>
          <a:lnRef idx="1">
            <a:schemeClr val="accent1"/>
          </a:lnRef>
          <a:fillRef idx="0">
            <a:schemeClr val="accent1"/>
          </a:fillRef>
          <a:effectRef idx="0">
            <a:schemeClr val="accent1"/>
          </a:effectRef>
          <a:fontRef idx="minor">
            <a:schemeClr val="tx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n-US"/>
          </a:p>
        </xdr:txBody>
      </xdr:sp>
      <xdr:sp macro="" textlink="">
        <xdr:nvSpPr>
          <xdr:cNvPr id="280" name="txt_Formula" descr="=COUNTIFS(F50:F61,F64,G50:G61,G64)&#10;">
            <a:extLst>
              <a:ext uri="{FF2B5EF4-FFF2-40B4-BE49-F238E27FC236}">
                <a16:creationId xmlns:a16="http://schemas.microsoft.com/office/drawing/2014/main" id="{9B024B79-A0D7-4146-8614-608EC9FDD326}"/>
              </a:ext>
            </a:extLst>
          </xdr:cNvPr>
          <xdr:cNvSpPr txBox="1"/>
        </xdr:nvSpPr>
        <xdr:spPr>
          <a:xfrm>
            <a:off x="638175" y="14982175"/>
            <a:ext cx="5267326" cy="5268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tIns="0" rIns="0" bIns="0" rtlCol="0" anchor="t"/>
          <a:lstStyle/>
          <a:p>
            <a:pPr marL="0" marR="0">
              <a:spcBef>
                <a:spcPts val="0"/>
              </a:spcBef>
              <a:spcAft>
                <a:spcPts val="0"/>
              </a:spcAft>
            </a:pPr>
            <a:r>
              <a:rPr lang="en-US" sz="2000">
                <a:solidFill>
                  <a:srgbClr val="000000"/>
                </a:solidFill>
                <a:effectLst/>
                <a:latin typeface="Courier New" panose="02070309020205020404" pitchFamily="49" charset="0"/>
                <a:ea typeface="Times New Roman" panose="02020603050405020304" pitchFamily="18" charset="0"/>
              </a:rPr>
              <a:t>=NB.SI.ENS(F50:F61;F64;G50:G61;G64)</a:t>
            </a:r>
            <a:endParaRPr lang="en-US" sz="2000">
              <a:effectLst/>
              <a:latin typeface="Times New Roman" panose="02020603050405020304" pitchFamily="18" charset="0"/>
              <a:ea typeface="Times New Roman" panose="02020603050405020304" pitchFamily="18" charset="0"/>
            </a:endParaRPr>
          </a:p>
        </xdr:txBody>
      </xdr:sp>
      <xdr:sp macro="" textlink="">
        <xdr:nvSpPr>
          <xdr:cNvPr id="281" name="txt_FormulaCalloutUpper" descr="This is the first range to count&#10;&#10;&#10;">
            <a:extLst>
              <a:ext uri="{FF2B5EF4-FFF2-40B4-BE49-F238E27FC236}">
                <a16:creationId xmlns:a16="http://schemas.microsoft.com/office/drawing/2014/main" id="{DED25350-43A6-40AF-99DE-4A8B25E7E5AE}"/>
              </a:ext>
            </a:extLst>
          </xdr:cNvPr>
          <xdr:cNvSpPr txBox="1">
            <a:spLocks noChangeArrowheads="1"/>
          </xdr:cNvSpPr>
        </xdr:nvSpPr>
        <xdr:spPr bwMode="auto">
          <a:xfrm>
            <a:off x="2105249" y="14144607"/>
            <a:ext cx="1111288"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C'est la</a:t>
            </a:r>
            <a:r>
              <a:rPr lang="en-US" sz="1100" baseline="0">
                <a:effectLst/>
                <a:latin typeface="Calibri" panose="020F0502020204030204" pitchFamily="34" charset="0"/>
                <a:ea typeface="Calibri" panose="020F0502020204030204" pitchFamily="34" charset="0"/>
                <a:cs typeface="Times New Roman" panose="02020603050405020304" pitchFamily="18" charset="0"/>
              </a:rPr>
              <a:t> première à compter</a:t>
            </a:r>
            <a:endParaRPr lang="en-US" sz="1100">
              <a:effectLst/>
              <a:latin typeface="Calibri" panose="020F0502020204030204" pitchFamily="34" charset="0"/>
              <a:ea typeface="Calibri" panose="020F0502020204030204" pitchFamily="34" charset="0"/>
              <a:cs typeface="Times New Roman" panose="02020603050405020304" pitchFamily="18" charset="0"/>
            </a:endParaRPr>
          </a:p>
        </xdr:txBody>
      </xdr:sp>
      <xdr:sp macro="" textlink="">
        <xdr:nvSpPr>
          <xdr:cNvPr id="282" name="txt_FormulaCalloutUpper" descr="This is the second range to count&#10;">
            <a:extLst>
              <a:ext uri="{FF2B5EF4-FFF2-40B4-BE49-F238E27FC236}">
                <a16:creationId xmlns:a16="http://schemas.microsoft.com/office/drawing/2014/main" id="{11EE695F-0D8C-4F27-9607-875A146520A9}"/>
              </a:ext>
            </a:extLst>
          </xdr:cNvPr>
          <xdr:cNvSpPr txBox="1">
            <a:spLocks noChangeArrowheads="1"/>
          </xdr:cNvSpPr>
        </xdr:nvSpPr>
        <xdr:spPr bwMode="auto">
          <a:xfrm>
            <a:off x="3732263" y="14152656"/>
            <a:ext cx="1120608"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C'est la deuxième plage à compter</a:t>
            </a:r>
            <a:endParaRPr lang="en-US">
              <a:effectLst/>
            </a:endParaRPr>
          </a:p>
        </xdr:txBody>
      </xdr:sp>
      <xdr:sp macro="" textlink="">
        <xdr:nvSpPr>
          <xdr:cNvPr id="283" name="txt_FormulaCalloutLower" descr="This is the criteria for the first match&#10;&#10;">
            <a:extLst>
              <a:ext uri="{FF2B5EF4-FFF2-40B4-BE49-F238E27FC236}">
                <a16:creationId xmlns:a16="http://schemas.microsoft.com/office/drawing/2014/main" id="{CA955A6F-F900-4254-A38C-2B84B32EF341}"/>
              </a:ext>
            </a:extLst>
          </xdr:cNvPr>
          <xdr:cNvSpPr txBox="1">
            <a:spLocks noChangeArrowheads="1"/>
          </xdr:cNvSpPr>
        </xdr:nvSpPr>
        <xdr:spPr bwMode="auto">
          <a:xfrm>
            <a:off x="2854595" y="1562312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r>
              <a:rPr lang="en-US" sz="1100">
                <a:effectLst/>
                <a:latin typeface="+mn-lt"/>
                <a:ea typeface="+mn-ea"/>
                <a:cs typeface="+mn-cs"/>
              </a:rPr>
              <a:t>C'est le critère pour</a:t>
            </a:r>
            <a:r>
              <a:rPr lang="en-US" sz="1100" baseline="0">
                <a:effectLst/>
                <a:latin typeface="+mn-lt"/>
                <a:ea typeface="+mn-ea"/>
                <a:cs typeface="+mn-cs"/>
              </a:rPr>
              <a:t> la première plage</a:t>
            </a:r>
            <a:endParaRPr lang="en-US">
              <a:effectLst/>
            </a:endParaRPr>
          </a:p>
        </xdr:txBody>
      </xdr:sp>
      <xdr:sp macro="" textlink="">
        <xdr:nvSpPr>
          <xdr:cNvPr id="284" name="txt_FormulaCalloutLower" descr="This is criteria for the second match&#10;">
            <a:extLst>
              <a:ext uri="{FF2B5EF4-FFF2-40B4-BE49-F238E27FC236}">
                <a16:creationId xmlns:a16="http://schemas.microsoft.com/office/drawing/2014/main" id="{838EB08C-21C3-4C95-9A03-F7C12DFF31CD}"/>
              </a:ext>
            </a:extLst>
          </xdr:cNvPr>
          <xdr:cNvSpPr txBox="1">
            <a:spLocks noChangeArrowheads="1"/>
          </xdr:cNvSpPr>
        </xdr:nvSpPr>
        <xdr:spPr bwMode="auto">
          <a:xfrm>
            <a:off x="4538861" y="15615070"/>
            <a:ext cx="1214947" cy="493774"/>
          </a:xfrm>
          <a:prstGeom prst="rect">
            <a:avLst/>
          </a:prstGeom>
          <a:solidFill>
            <a:schemeClr val="accent1">
              <a:lumMod val="20000"/>
              <a:lumOff val="80000"/>
            </a:schemeClr>
          </a:solidFill>
          <a:ln w="9525">
            <a:noFill/>
            <a:miter lim="800000"/>
            <a:headEnd/>
            <a:tailEnd/>
          </a:ln>
        </xdr:spPr>
        <xdr:txBody>
          <a:bodyPr rot="0" vert="horz" wrap="square" lIns="91440" tIns="45720" rIns="91440" bIns="45720" anchor="t" anchorCtr="0">
            <a:noAutofit/>
          </a:bodyPr>
          <a:lstStyle/>
          <a:p>
            <a:pPr marL="0" marR="0" indent="0">
              <a:lnSpc>
                <a:spcPct val="107000"/>
              </a:lnSpc>
              <a:spcBef>
                <a:spcPts val="0"/>
              </a:spcBef>
              <a:spcAft>
                <a:spcPts val="800"/>
              </a:spcAft>
            </a:pPr>
            <a:r>
              <a:rPr lang="en-US" sz="1100">
                <a:effectLst/>
                <a:latin typeface="Calibri" panose="020F0502020204030204" pitchFamily="34" charset="0"/>
                <a:ea typeface="Calibri" panose="020F0502020204030204" pitchFamily="34" charset="0"/>
                <a:cs typeface="Times New Roman" panose="02020603050405020304" pitchFamily="18" charset="0"/>
              </a:rPr>
              <a:t>C'est le critère pour la deuxième plage</a:t>
            </a:r>
          </a:p>
        </xdr:txBody>
      </xdr:sp>
    </xdr:grpSp>
    <xdr:clientData/>
  </xdr:twoCellAnchor>
  <xdr:twoCellAnchor>
    <xdr:from>
      <xdr:col>0</xdr:col>
      <xdr:colOff>571500</xdr:colOff>
      <xdr:row>83</xdr:row>
      <xdr:rowOff>38100</xdr:rowOff>
    </xdr:from>
    <xdr:to>
      <xdr:col>1</xdr:col>
      <xdr:colOff>2446842</xdr:colOff>
      <xdr:row>85</xdr:row>
      <xdr:rowOff>188024</xdr:rowOff>
    </xdr:to>
    <xdr:sp macro="" textlink="">
      <xdr:nvSpPr>
        <xdr:cNvPr id="285" name="More detail button" descr="Dive down for more detail">
          <a:hlinkClick xmlns:r="http://schemas.openxmlformats.org/officeDocument/2006/relationships" r:id="rId21"/>
          <a:extLst>
            <a:ext uri="{FF2B5EF4-FFF2-40B4-BE49-F238E27FC236}">
              <a16:creationId xmlns:a16="http://schemas.microsoft.com/office/drawing/2014/main" id="{8D5461FA-B324-43B7-BD8D-8A93884BC3F2}"/>
            </a:ext>
          </a:extLst>
        </xdr:cNvPr>
        <xdr:cNvSpPr/>
      </xdr:nvSpPr>
      <xdr:spPr>
        <a:xfrm>
          <a:off x="571500" y="16497300"/>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Descendez pour plus de détails</a:t>
          </a:r>
        </a:p>
      </xdr:txBody>
    </xdr:sp>
    <xdr:clientData/>
  </xdr:twoCellAnchor>
  <xdr:twoCellAnchor>
    <xdr:from>
      <xdr:col>0</xdr:col>
      <xdr:colOff>619125</xdr:colOff>
      <xdr:row>108</xdr:row>
      <xdr:rowOff>66675</xdr:rowOff>
    </xdr:from>
    <xdr:to>
      <xdr:col>1</xdr:col>
      <xdr:colOff>2494467</xdr:colOff>
      <xdr:row>111</xdr:row>
      <xdr:rowOff>26099</xdr:rowOff>
    </xdr:to>
    <xdr:sp macro="" textlink="">
      <xdr:nvSpPr>
        <xdr:cNvPr id="131" name="More detail button" descr="Dive down for more detail">
          <a:hlinkClick xmlns:r="http://schemas.openxmlformats.org/officeDocument/2006/relationships" r:id="rId22"/>
          <a:extLst>
            <a:ext uri="{FF2B5EF4-FFF2-40B4-BE49-F238E27FC236}">
              <a16:creationId xmlns:a16="http://schemas.microsoft.com/office/drawing/2014/main" id="{E4939BBA-49B2-4BFB-A7CF-F0BF2534CA19}"/>
            </a:ext>
          </a:extLst>
        </xdr:cNvPr>
        <xdr:cNvSpPr/>
      </xdr:nvSpPr>
      <xdr:spPr>
        <a:xfrm>
          <a:off x="619125" y="21250275"/>
          <a:ext cx="2723067" cy="530924"/>
        </a:xfrm>
        <a:prstGeom prst="downArrowCallout">
          <a:avLst/>
        </a:prstGeom>
        <a:solidFill>
          <a:schemeClr val="bg1">
            <a:lumMod val="85000"/>
          </a:schemeClr>
        </a:solidFill>
        <a:ln>
          <a:solidFill>
            <a:srgbClr val="0B744D">
              <a:alpha val="50000"/>
            </a:srgbClr>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indent="0" algn="ctr"/>
          <a:r>
            <a:rPr lang="en-US" sz="1200">
              <a:solidFill>
                <a:srgbClr val="0B744D"/>
              </a:solidFill>
              <a:latin typeface="Segoe UI" pitchFamily="34" charset="0"/>
              <a:ea typeface="Segoe UI" pitchFamily="34" charset="0"/>
              <a:cs typeface="Segoe UI" pitchFamily="34" charset="0"/>
            </a:rPr>
            <a:t>Dive down for more detail</a:t>
          </a:r>
        </a:p>
      </xdr:txBody>
    </xdr:sp>
    <xdr:clientData/>
  </xdr:twoCellAnchor>
  <xdr:twoCellAnchor editAs="absolute">
    <xdr:from>
      <xdr:col>0</xdr:col>
      <xdr:colOff>514350</xdr:colOff>
      <xdr:row>130</xdr:row>
      <xdr:rowOff>57150</xdr:rowOff>
    </xdr:from>
    <xdr:to>
      <xdr:col>1</xdr:col>
      <xdr:colOff>941795</xdr:colOff>
      <xdr:row>132</xdr:row>
      <xdr:rowOff>11599</xdr:rowOff>
    </xdr:to>
    <xdr:sp macro="" textlink="">
      <xdr:nvSpPr>
        <xdr:cNvPr id="132" name="PreviousButton" descr="Return to the previous sheet">
          <a:hlinkClick xmlns:r="http://schemas.openxmlformats.org/officeDocument/2006/relationships" r:id="rId23" tooltip="Click here to go back to the previous sheet"/>
          <a:extLst>
            <a:ext uri="{FF2B5EF4-FFF2-40B4-BE49-F238E27FC236}">
              <a16:creationId xmlns:a16="http://schemas.microsoft.com/office/drawing/2014/main" id="{830297D0-B7B5-411D-BAB3-CF97F2FD22DD}"/>
            </a:ext>
          </a:extLst>
        </xdr:cNvPr>
        <xdr:cNvSpPr/>
      </xdr:nvSpPr>
      <xdr:spPr>
        <a:xfrm flipH="1">
          <a:off x="514350" y="25469850"/>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Précédent</a:t>
          </a:r>
        </a:p>
      </xdr:txBody>
    </xdr:sp>
    <xdr:clientData fPrintsWithSheet="0"/>
  </xdr:twoCellAnchor>
  <xdr:twoCellAnchor editAs="absolute">
    <xdr:from>
      <xdr:col>1</xdr:col>
      <xdr:colOff>3665783</xdr:colOff>
      <xdr:row>130</xdr:row>
      <xdr:rowOff>69930</xdr:rowOff>
    </xdr:from>
    <xdr:to>
      <xdr:col>1</xdr:col>
      <xdr:colOff>4817658</xdr:colOff>
      <xdr:row>132</xdr:row>
      <xdr:rowOff>46037</xdr:rowOff>
    </xdr:to>
    <xdr:sp macro="" textlink="">
      <xdr:nvSpPr>
        <xdr:cNvPr id="178" name="Next Button" descr="Next step button, hyperlinked to next worksheet">
          <a:hlinkClick xmlns:r="http://schemas.openxmlformats.org/officeDocument/2006/relationships" r:id="rId3"/>
          <a:extLst>
            <a:ext uri="{FF2B5EF4-FFF2-40B4-BE49-F238E27FC236}">
              <a16:creationId xmlns:a16="http://schemas.microsoft.com/office/drawing/2014/main" id="{21885DC0-F099-46D4-A1CF-17E11C390036}"/>
            </a:ext>
          </a:extLst>
        </xdr:cNvPr>
        <xdr:cNvSpPr/>
      </xdr:nvSpPr>
      <xdr:spPr>
        <a:xfrm>
          <a:off x="4513508" y="25482630"/>
          <a:ext cx="1151875" cy="357107"/>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Suivant</a:t>
          </a: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2</xdr:col>
      <xdr:colOff>222885</xdr:colOff>
      <xdr:row>10</xdr:row>
      <xdr:rowOff>9525</xdr:rowOff>
    </xdr:from>
    <xdr:to>
      <xdr:col>5</xdr:col>
      <xdr:colOff>337185</xdr:colOff>
      <xdr:row>19</xdr:row>
      <xdr:rowOff>2128</xdr:rowOff>
    </xdr:to>
    <xdr:grpSp>
      <xdr:nvGrpSpPr>
        <xdr:cNvPr id="76" name="CHECK THIS OUT" descr="CHECK THIS OUT&#10;&#10;">
          <a:extLst>
            <a:ext uri="{FF2B5EF4-FFF2-40B4-BE49-F238E27FC236}">
              <a16:creationId xmlns:a16="http://schemas.microsoft.com/office/drawing/2014/main" id="{16122225-CAAD-44E9-BB30-7B1C9C3D2195}"/>
            </a:ext>
          </a:extLst>
        </xdr:cNvPr>
        <xdr:cNvGrpSpPr/>
      </xdr:nvGrpSpPr>
      <xdr:grpSpPr>
        <a:xfrm>
          <a:off x="7157085" y="2478405"/>
          <a:ext cx="2522220" cy="1646143"/>
          <a:chOff x="7830674" y="7686975"/>
          <a:chExt cx="2476379" cy="1716628"/>
        </a:xfrm>
      </xdr:grpSpPr>
      <xdr:grpSp>
        <xdr:nvGrpSpPr>
          <xdr:cNvPr id="77" name="Bracket lines">
            <a:extLst>
              <a:ext uri="{FF2B5EF4-FFF2-40B4-BE49-F238E27FC236}">
                <a16:creationId xmlns:a16="http://schemas.microsoft.com/office/drawing/2014/main" id="{B68F7B71-DFB1-44E6-A3F5-6C1A75430E65}"/>
              </a:ext>
            </a:extLst>
          </xdr:cNvPr>
          <xdr:cNvGrpSpPr/>
        </xdr:nvGrpSpPr>
        <xdr:grpSpPr>
          <a:xfrm rot="599914">
            <a:off x="8268759" y="7686975"/>
            <a:ext cx="699683" cy="317588"/>
            <a:chOff x="10431582" y="494305"/>
            <a:chExt cx="650892" cy="358953"/>
          </a:xfrm>
        </xdr:grpSpPr>
        <xdr:sp macro="" textlink="">
          <xdr:nvSpPr>
            <xdr:cNvPr id="80" name="Another bracket line" descr="Bracket line">
              <a:extLst>
                <a:ext uri="{FF2B5EF4-FFF2-40B4-BE49-F238E27FC236}">
                  <a16:creationId xmlns:a16="http://schemas.microsoft.com/office/drawing/2014/main" id="{A829194B-025B-496A-981A-F3186DD91FB9}"/>
                </a:ext>
              </a:extLst>
            </xdr:cNvPr>
            <xdr:cNvSpPr/>
          </xdr:nvSpPr>
          <xdr:spPr>
            <a:xfrm rot="4800086">
              <a:off x="10808291" y="552223"/>
              <a:ext cx="332101" cy="216265"/>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3326" h="217696">
                  <a:moveTo>
                    <a:pt x="0" y="193"/>
                  </a:moveTo>
                  <a:cubicBezTo>
                    <a:pt x="64880" y="-498"/>
                    <a:pt x="129760" y="-1188"/>
                    <a:pt x="157369" y="33323"/>
                  </a:cubicBezTo>
                  <a:cubicBezTo>
                    <a:pt x="184978" y="67834"/>
                    <a:pt x="146326" y="179649"/>
                    <a:pt x="165652" y="207258"/>
                  </a:cubicBezTo>
                  <a:cubicBezTo>
                    <a:pt x="184978" y="234867"/>
                    <a:pt x="273326" y="198976"/>
                    <a:pt x="273326" y="198976"/>
                  </a:cubicBezTo>
                  <a:lnTo>
                    <a:pt x="273326" y="198976"/>
                  </a:ln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81" name="Bracket line" descr="Bracket line&#10;">
              <a:extLst>
                <a:ext uri="{FF2B5EF4-FFF2-40B4-BE49-F238E27FC236}">
                  <a16:creationId xmlns:a16="http://schemas.microsoft.com/office/drawing/2014/main" id="{BACEE05B-8FEC-4418-A1A8-3357906C0B37}"/>
                </a:ext>
              </a:extLst>
            </xdr:cNvPr>
            <xdr:cNvSpPr/>
          </xdr:nvSpPr>
          <xdr:spPr>
            <a:xfrm rot="4800086">
              <a:off x="10557120" y="532227"/>
              <a:ext cx="195493" cy="446570"/>
            </a:xfrm>
            <a:custGeom>
              <a:avLst/>
              <a:gdLst>
                <a:gd name="connsiteX0" fmla="*/ 0 w 231913"/>
                <a:gd name="connsiteY0" fmla="*/ 579782 h 579782"/>
                <a:gd name="connsiteX1" fmla="*/ 173935 w 231913"/>
                <a:gd name="connsiteY1" fmla="*/ 496956 h 579782"/>
                <a:gd name="connsiteX2" fmla="*/ 107674 w 231913"/>
                <a:gd name="connsiteY2" fmla="*/ 265043 h 579782"/>
                <a:gd name="connsiteX3" fmla="*/ 115956 w 231913"/>
                <a:gd name="connsiteY3" fmla="*/ 57978 h 579782"/>
                <a:gd name="connsiteX4" fmla="*/ 231913 w 231913"/>
                <a:gd name="connsiteY4" fmla="*/ 0 h 579782"/>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31913" h="579782">
                  <a:moveTo>
                    <a:pt x="0" y="579782"/>
                  </a:moveTo>
                  <a:cubicBezTo>
                    <a:pt x="77994" y="564597"/>
                    <a:pt x="155989" y="549413"/>
                    <a:pt x="173935" y="496956"/>
                  </a:cubicBezTo>
                  <a:cubicBezTo>
                    <a:pt x="191881" y="444499"/>
                    <a:pt x="117337" y="338206"/>
                    <a:pt x="107674" y="265043"/>
                  </a:cubicBezTo>
                  <a:cubicBezTo>
                    <a:pt x="98011" y="191880"/>
                    <a:pt x="95250" y="102152"/>
                    <a:pt x="115956" y="57978"/>
                  </a:cubicBezTo>
                  <a:cubicBezTo>
                    <a:pt x="136663" y="13804"/>
                    <a:pt x="184288" y="6902"/>
                    <a:pt x="231913" y="0"/>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grpSp>
      <xdr:pic>
        <xdr:nvPicPr>
          <xdr:cNvPr id="78" name="Stars" descr="Stars">
            <a:extLst>
              <a:ext uri="{FF2B5EF4-FFF2-40B4-BE49-F238E27FC236}">
                <a16:creationId xmlns:a16="http://schemas.microsoft.com/office/drawing/2014/main" id="{1B099962-803E-4FDC-8B74-904D07626BE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830674" y="8038700"/>
            <a:ext cx="388098" cy="337815"/>
          </a:xfrm>
          <a:prstGeom prst="rect">
            <a:avLst/>
          </a:prstGeom>
        </xdr:spPr>
      </xdr:pic>
      <xdr:sp macro="" textlink="">
        <xdr:nvSpPr>
          <xdr:cNvPr id="79" name="Instructions" descr="CHECK THIS OUT&#10;You should end up with =VLOOKUP(C10,C5:D8,2,FALSE)&#10;">
            <a:extLst>
              <a:ext uri="{FF2B5EF4-FFF2-40B4-BE49-F238E27FC236}">
                <a16:creationId xmlns:a16="http://schemas.microsoft.com/office/drawing/2014/main" id="{CD6BEA80-3565-4CB2-961F-64F55693307F}"/>
              </a:ext>
            </a:extLst>
          </xdr:cNvPr>
          <xdr:cNvSpPr txBox="1"/>
        </xdr:nvSpPr>
        <xdr:spPr>
          <a:xfrm>
            <a:off x="8132529" y="7993902"/>
            <a:ext cx="2174524" cy="1409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ESSAYEZ CA</a:t>
            </a:r>
          </a:p>
          <a:p>
            <a:pPr lvl="0">
              <a:defRPr/>
            </a:pPr>
            <a:r>
              <a:rPr lang="en-US" sz="1100" kern="0">
                <a:solidFill>
                  <a:schemeClr val="bg2">
                    <a:lumMod val="25000"/>
                  </a:schemeClr>
                </a:solidFill>
                <a:latin typeface="+mn-lt"/>
                <a:ea typeface="Segoe UI" pitchFamily="34" charset="0"/>
                <a:cs typeface="Segoe UI Light" panose="020B0502040204020203" pitchFamily="34" charset="0"/>
              </a:rPr>
              <a:t>Vous devriez vous retrouver avec </a:t>
            </a:r>
            <a:r>
              <a:rPr lang="en-US" sz="1100" b="1" kern="0">
                <a:solidFill>
                  <a:schemeClr val="bg2">
                    <a:lumMod val="25000"/>
                  </a:schemeClr>
                </a:solidFill>
                <a:latin typeface="+mn-lt"/>
                <a:ea typeface="Segoe UI" pitchFamily="34" charset="0"/>
                <a:cs typeface="Segoe UI Light" panose="020B0502040204020203" pitchFamily="34" charset="0"/>
              </a:rPr>
              <a:t>=RECHERCHEV(C10;C5:D8;2;FAUX)</a:t>
            </a:r>
            <a:endParaRPr lang="en-US" sz="1100" b="1">
              <a:solidFill>
                <a:schemeClr val="bg2">
                  <a:lumMod val="25000"/>
                </a:schemeClr>
              </a:solidFill>
              <a:latin typeface="+mn-lt"/>
              <a:ea typeface="Segoe UI" pitchFamily="34" charset="0"/>
              <a:cs typeface="Segoe UI Light" panose="020B0502040204020203" pitchFamily="34" charset="0"/>
            </a:endParaRPr>
          </a:p>
        </xdr:txBody>
      </xdr:sp>
    </xdr:grpSp>
    <xdr:clientData/>
  </xdr:twoCellAnchor>
  <xdr:twoCellAnchor>
    <xdr:from>
      <xdr:col>0</xdr:col>
      <xdr:colOff>352425</xdr:colOff>
      <xdr:row>34</xdr:row>
      <xdr:rowOff>161925</xdr:rowOff>
    </xdr:from>
    <xdr:to>
      <xdr:col>1</xdr:col>
      <xdr:colOff>5218938</xdr:colOff>
      <xdr:row>47</xdr:row>
      <xdr:rowOff>76200</xdr:rowOff>
    </xdr:to>
    <xdr:grpSp>
      <xdr:nvGrpSpPr>
        <xdr:cNvPr id="82" name="Group 81">
          <a:extLst>
            <a:ext uri="{FF2B5EF4-FFF2-40B4-BE49-F238E27FC236}">
              <a16:creationId xmlns:a16="http://schemas.microsoft.com/office/drawing/2014/main" id="{1015345F-A070-4EDE-8224-DC487667438E}"/>
            </a:ext>
          </a:extLst>
        </xdr:cNvPr>
        <xdr:cNvGrpSpPr/>
      </xdr:nvGrpSpPr>
      <xdr:grpSpPr>
        <a:xfrm>
          <a:off x="352425" y="7027545"/>
          <a:ext cx="5758053" cy="2291715"/>
          <a:chOff x="352425" y="10715625"/>
          <a:chExt cx="5733288" cy="2390775"/>
        </a:xfrm>
      </xdr:grpSpPr>
      <xdr:sp macro="" textlink="">
        <xdr:nvSpPr>
          <xdr:cNvPr id="83" name="Rectangle 82">
            <a:extLst>
              <a:ext uri="{FF2B5EF4-FFF2-40B4-BE49-F238E27FC236}">
                <a16:creationId xmlns:a16="http://schemas.microsoft.com/office/drawing/2014/main" id="{BF247EB2-F003-4BDA-BFB1-B8FADD1C69C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4" name="Step" descr="More information on the web&#10;">
            <a:extLst>
              <a:ext uri="{FF2B5EF4-FFF2-40B4-BE49-F238E27FC236}">
                <a16:creationId xmlns:a16="http://schemas.microsoft.com/office/drawing/2014/main" id="{28ECC19D-57DD-47CB-A76D-C80D367AE2C8}"/>
              </a:ext>
            </a:extLst>
          </xdr:cNvPr>
          <xdr:cNvSpPr txBox="1"/>
        </xdr:nvSpPr>
        <xdr:spPr>
          <a:xfrm>
            <a:off x="56345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5" name="Straight Connector 84" descr="Decorative line">
            <a:extLst>
              <a:ext uri="{FF2B5EF4-FFF2-40B4-BE49-F238E27FC236}">
                <a16:creationId xmlns:a16="http://schemas.microsoft.com/office/drawing/2014/main" id="{123ED04E-B6E8-457B-8D55-39D8FD68B6AD}"/>
              </a:ext>
            </a:extLst>
          </xdr:cNvPr>
          <xdr:cNvCxnSpPr>
            <a:cxnSpLocks/>
          </xdr:cNvCxnSpPr>
        </xdr:nvCxnSpPr>
        <xdr:spPr>
          <a:xfrm>
            <a:off x="563457"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6" name="Straight Connector 85" descr="Decorative line">
            <a:extLst>
              <a:ext uri="{FF2B5EF4-FFF2-40B4-BE49-F238E27FC236}">
                <a16:creationId xmlns:a16="http://schemas.microsoft.com/office/drawing/2014/main" id="{2C795585-0AA1-40B2-AE62-AEC803091634}"/>
              </a:ext>
            </a:extLst>
          </xdr:cNvPr>
          <xdr:cNvCxnSpPr>
            <a:cxnSpLocks/>
          </xdr:cNvCxnSpPr>
        </xdr:nvCxnSpPr>
        <xdr:spPr>
          <a:xfrm>
            <a:off x="563457"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562406</xdr:colOff>
      <xdr:row>37</xdr:row>
      <xdr:rowOff>149944</xdr:rowOff>
    </xdr:from>
    <xdr:to>
      <xdr:col>1</xdr:col>
      <xdr:colOff>2562225</xdr:colOff>
      <xdr:row>39</xdr:row>
      <xdr:rowOff>128023</xdr:rowOff>
    </xdr:to>
    <xdr:grpSp>
      <xdr:nvGrpSpPr>
        <xdr:cNvPr id="5" name="Group 4">
          <a:extLst>
            <a:ext uri="{FF2B5EF4-FFF2-40B4-BE49-F238E27FC236}">
              <a16:creationId xmlns:a16="http://schemas.microsoft.com/office/drawing/2014/main" id="{82632918-520D-4E51-9E28-E3DEB82D9A91}"/>
            </a:ext>
          </a:extLst>
        </xdr:cNvPr>
        <xdr:cNvGrpSpPr/>
      </xdr:nvGrpSpPr>
      <xdr:grpSpPr>
        <a:xfrm>
          <a:off x="562406" y="7564204"/>
          <a:ext cx="2891359" cy="343839"/>
          <a:chOff x="562406" y="11008444"/>
          <a:chExt cx="2866594" cy="359079"/>
        </a:xfrm>
      </xdr:grpSpPr>
      <xdr:sp macro="" textlink="">
        <xdr:nvSpPr>
          <xdr:cNvPr id="87" name="Step" descr="All about the IF function, Hyperlinked to web&#10;&#10;">
            <a:hlinkClick xmlns:r="http://schemas.openxmlformats.org/officeDocument/2006/relationships" r:id="rId3" tooltip="Select to learn all about formulas in Excel on the web"/>
            <a:extLst>
              <a:ext uri="{FF2B5EF4-FFF2-40B4-BE49-F238E27FC236}">
                <a16:creationId xmlns:a16="http://schemas.microsoft.com/office/drawing/2014/main" id="{41455299-D7B6-412C-80EB-393F42F3AB5B}"/>
              </a:ext>
            </a:extLst>
          </xdr:cNvPr>
          <xdr:cNvSpPr txBox="1"/>
        </xdr:nvSpPr>
        <xdr:spPr>
          <a:xfrm>
            <a:off x="1027591" y="1108280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Overview</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of formulas in Excel</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88" name="Graphic 22" descr="Arrow">
            <a:hlinkClick xmlns:r="http://schemas.openxmlformats.org/officeDocument/2006/relationships" r:id="rId3" tooltip="Select to learn more from the web"/>
            <a:extLst>
              <a:ext uri="{FF2B5EF4-FFF2-40B4-BE49-F238E27FC236}">
                <a16:creationId xmlns:a16="http://schemas.microsoft.com/office/drawing/2014/main" id="{C16F4A00-286C-4F3A-A614-E46206C748B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008444"/>
            <a:ext cx="492262" cy="359079"/>
          </a:xfrm>
          <a:prstGeom prst="rect">
            <a:avLst/>
          </a:prstGeom>
        </xdr:spPr>
      </xdr:pic>
    </xdr:grpSp>
    <xdr:clientData/>
  </xdr:twoCellAnchor>
  <xdr:twoCellAnchor>
    <xdr:from>
      <xdr:col>0</xdr:col>
      <xdr:colOff>562406</xdr:colOff>
      <xdr:row>39</xdr:row>
      <xdr:rowOff>144010</xdr:rowOff>
    </xdr:from>
    <xdr:to>
      <xdr:col>1</xdr:col>
      <xdr:colOff>2590800</xdr:colOff>
      <xdr:row>41</xdr:row>
      <xdr:rowOff>127399</xdr:rowOff>
    </xdr:to>
    <xdr:grpSp>
      <xdr:nvGrpSpPr>
        <xdr:cNvPr id="4" name="Group 3">
          <a:extLst>
            <a:ext uri="{FF2B5EF4-FFF2-40B4-BE49-F238E27FC236}">
              <a16:creationId xmlns:a16="http://schemas.microsoft.com/office/drawing/2014/main" id="{98FAF5DD-EE61-45C8-981A-2D0D0E97F1D8}"/>
            </a:ext>
          </a:extLst>
        </xdr:cNvPr>
        <xdr:cNvGrpSpPr/>
      </xdr:nvGrpSpPr>
      <xdr:grpSpPr>
        <a:xfrm>
          <a:off x="562406" y="7924030"/>
          <a:ext cx="2919934" cy="349149"/>
          <a:chOff x="562406" y="11383510"/>
          <a:chExt cx="2895169" cy="364389"/>
        </a:xfrm>
      </xdr:grpSpPr>
      <xdr:sp macro="" textlink="">
        <xdr:nvSpPr>
          <xdr:cNvPr id="89" name="Step" descr="All about the IFS function, hyperlinked to web&#10;">
            <a:hlinkClick xmlns:r="http://schemas.openxmlformats.org/officeDocument/2006/relationships" r:id="rId6" tooltip="Select to see all of Excel's functions by category on the web"/>
            <a:extLst>
              <a:ext uri="{FF2B5EF4-FFF2-40B4-BE49-F238E27FC236}">
                <a16:creationId xmlns:a16="http://schemas.microsoft.com/office/drawing/2014/main" id="{D3CD53C6-1DF8-4009-A56B-751B768B6B8A}"/>
              </a:ext>
            </a:extLst>
          </xdr:cNvPr>
          <xdr:cNvSpPr txBox="1"/>
        </xdr:nvSpPr>
        <xdr:spPr>
          <a:xfrm>
            <a:off x="1027591" y="1146068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(by</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category)</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0" name="Graphic 22" descr="Arrow">
            <a:hlinkClick xmlns:r="http://schemas.openxmlformats.org/officeDocument/2006/relationships" r:id="rId6" tooltip="Select to learn more from the web"/>
            <a:extLst>
              <a:ext uri="{FF2B5EF4-FFF2-40B4-BE49-F238E27FC236}">
                <a16:creationId xmlns:a16="http://schemas.microsoft.com/office/drawing/2014/main" id="{49851395-FA5C-4A27-8B33-9F958E81489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383510"/>
            <a:ext cx="492262" cy="364389"/>
          </a:xfrm>
          <a:prstGeom prst="rect">
            <a:avLst/>
          </a:prstGeom>
        </xdr:spPr>
      </xdr:pic>
    </xdr:grpSp>
    <xdr:clientData/>
  </xdr:twoCellAnchor>
  <xdr:twoCellAnchor>
    <xdr:from>
      <xdr:col>0</xdr:col>
      <xdr:colOff>562406</xdr:colOff>
      <xdr:row>43</xdr:row>
      <xdr:rowOff>174928</xdr:rowOff>
    </xdr:from>
    <xdr:to>
      <xdr:col>1</xdr:col>
      <xdr:colOff>2212267</xdr:colOff>
      <xdr:row>45</xdr:row>
      <xdr:rowOff>158317</xdr:rowOff>
    </xdr:to>
    <xdr:grpSp>
      <xdr:nvGrpSpPr>
        <xdr:cNvPr id="2" name="Group 1">
          <a:extLst>
            <a:ext uri="{FF2B5EF4-FFF2-40B4-BE49-F238E27FC236}">
              <a16:creationId xmlns:a16="http://schemas.microsoft.com/office/drawing/2014/main" id="{2F82E782-5C9A-405F-90E2-13AE28FFFCBD}"/>
            </a:ext>
          </a:extLst>
        </xdr:cNvPr>
        <xdr:cNvGrpSpPr/>
      </xdr:nvGrpSpPr>
      <xdr:grpSpPr>
        <a:xfrm>
          <a:off x="562406" y="8686468"/>
          <a:ext cx="2541401" cy="349149"/>
          <a:chOff x="562406" y="12176428"/>
          <a:chExt cx="2516636" cy="364389"/>
        </a:xfrm>
      </xdr:grpSpPr>
      <xdr:sp macro="" textlink="">
        <xdr:nvSpPr>
          <xdr:cNvPr id="91" name="Step" descr="Free Excel training online, hyperlinked to web&#10;">
            <a:hlinkClick xmlns:r="http://schemas.openxmlformats.org/officeDocument/2006/relationships" r:id="rId7" tooltip="Select to learn about free Excel training on the web"/>
            <a:extLst>
              <a:ext uri="{FF2B5EF4-FFF2-40B4-BE49-F238E27FC236}">
                <a16:creationId xmlns:a16="http://schemas.microsoft.com/office/drawing/2014/main" id="{19A3D044-BB8D-41AF-8364-CFED7743E9E8}"/>
              </a:ext>
            </a:extLst>
          </xdr:cNvPr>
          <xdr:cNvSpPr txBox="1"/>
        </xdr:nvSpPr>
        <xdr:spPr>
          <a:xfrm>
            <a:off x="1040199" y="1222753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2" name="Graphic 22" descr="Arrow">
            <a:hlinkClick xmlns:r="http://schemas.openxmlformats.org/officeDocument/2006/relationships" r:id="rId7" tooltip="Select to learn more from the web"/>
            <a:extLst>
              <a:ext uri="{FF2B5EF4-FFF2-40B4-BE49-F238E27FC236}">
                <a16:creationId xmlns:a16="http://schemas.microsoft.com/office/drawing/2014/main" id="{37889FD7-87AC-422B-93F8-5AECB480070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2176428"/>
            <a:ext cx="492262" cy="364389"/>
          </a:xfrm>
          <a:prstGeom prst="rect">
            <a:avLst/>
          </a:prstGeom>
        </xdr:spPr>
      </xdr:pic>
    </xdr:grpSp>
    <xdr:clientData/>
  </xdr:twoCellAnchor>
  <xdr:twoCellAnchor>
    <xdr:from>
      <xdr:col>0</xdr:col>
      <xdr:colOff>562406</xdr:colOff>
      <xdr:row>41</xdr:row>
      <xdr:rowOff>143386</xdr:rowOff>
    </xdr:from>
    <xdr:to>
      <xdr:col>1</xdr:col>
      <xdr:colOff>2590800</xdr:colOff>
      <xdr:row>43</xdr:row>
      <xdr:rowOff>126775</xdr:rowOff>
    </xdr:to>
    <xdr:grpSp>
      <xdr:nvGrpSpPr>
        <xdr:cNvPr id="3" name="Group 2">
          <a:extLst>
            <a:ext uri="{FF2B5EF4-FFF2-40B4-BE49-F238E27FC236}">
              <a16:creationId xmlns:a16="http://schemas.microsoft.com/office/drawing/2014/main" id="{F4AC7FE3-2FB4-4A3F-8F6D-E41D0BF24478}"/>
            </a:ext>
          </a:extLst>
        </xdr:cNvPr>
        <xdr:cNvGrpSpPr/>
      </xdr:nvGrpSpPr>
      <xdr:grpSpPr>
        <a:xfrm>
          <a:off x="562406" y="8289166"/>
          <a:ext cx="2919934" cy="349149"/>
          <a:chOff x="562406" y="11763886"/>
          <a:chExt cx="2895169" cy="364389"/>
        </a:xfrm>
      </xdr:grpSpPr>
      <xdr:sp macro="" textlink="">
        <xdr:nvSpPr>
          <xdr:cNvPr id="93" name="Step" descr="Advanced IF statements, hyperlinked to web&#10;">
            <a:hlinkClick xmlns:r="http://schemas.openxmlformats.org/officeDocument/2006/relationships" r:id="rId8" tooltip="Select to see all of Excel's functions alphabetically on the web"/>
            <a:extLst>
              <a:ext uri="{FF2B5EF4-FFF2-40B4-BE49-F238E27FC236}">
                <a16:creationId xmlns:a16="http://schemas.microsoft.com/office/drawing/2014/main" id="{0C9EBEA8-904F-4B13-9D34-42D4C435F750}"/>
              </a:ext>
            </a:extLst>
          </xdr:cNvPr>
          <xdr:cNvSpPr txBox="1"/>
        </xdr:nvSpPr>
        <xdr:spPr>
          <a:xfrm>
            <a:off x="1027591" y="11832161"/>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Excel functions (alphabetical)</a:t>
            </a:r>
          </a:p>
        </xdr:txBody>
      </xdr:sp>
      <xdr:pic>
        <xdr:nvPicPr>
          <xdr:cNvPr id="94" name="Graphic 22" descr="Arrow">
            <a:hlinkClick xmlns:r="http://schemas.openxmlformats.org/officeDocument/2006/relationships" r:id="rId8" tooltip="Select to learn more from the web"/>
            <a:extLst>
              <a:ext uri="{FF2B5EF4-FFF2-40B4-BE49-F238E27FC236}">
                <a16:creationId xmlns:a16="http://schemas.microsoft.com/office/drawing/2014/main" id="{33FB7408-A75F-4F9B-936E-020F44B829CD}"/>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62406" y="11763886"/>
            <a:ext cx="492262" cy="364389"/>
          </a:xfrm>
          <a:prstGeom prst="rect">
            <a:avLst/>
          </a:prstGeom>
        </xdr:spPr>
      </xdr:pic>
    </xdr:grpSp>
    <xdr:clientData/>
  </xdr:twoCellAnchor>
  <xdr:twoCellAnchor>
    <xdr:from>
      <xdr:col>0</xdr:col>
      <xdr:colOff>352425</xdr:colOff>
      <xdr:row>0</xdr:row>
      <xdr:rowOff>352425</xdr:rowOff>
    </xdr:from>
    <xdr:to>
      <xdr:col>1</xdr:col>
      <xdr:colOff>5257800</xdr:colOff>
      <xdr:row>34</xdr:row>
      <xdr:rowOff>66675</xdr:rowOff>
    </xdr:to>
    <xdr:sp macro="" textlink="">
      <xdr:nvSpPr>
        <xdr:cNvPr id="62" name="txt_TourBackground" descr="Background">
          <a:extLst>
            <a:ext uri="{FF2B5EF4-FFF2-40B4-BE49-F238E27FC236}">
              <a16:creationId xmlns:a16="http://schemas.microsoft.com/office/drawing/2014/main" id="{9C42B660-A3B5-4F00-8B62-1A2BC85EB46D}"/>
            </a:ext>
          </a:extLst>
        </xdr:cNvPr>
        <xdr:cNvSpPr/>
      </xdr:nvSpPr>
      <xdr:spPr>
        <a:xfrm>
          <a:off x="352425" y="352425"/>
          <a:ext cx="5796915" cy="6579870"/>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xdr:from>
      <xdr:col>0</xdr:col>
      <xdr:colOff>567652</xdr:colOff>
      <xdr:row>0</xdr:row>
      <xdr:rowOff>490010</xdr:rowOff>
    </xdr:from>
    <xdr:to>
      <xdr:col>1</xdr:col>
      <xdr:colOff>5227319</xdr:colOff>
      <xdr:row>2</xdr:row>
      <xdr:rowOff>15411</xdr:rowOff>
    </xdr:to>
    <xdr:sp macro="" textlink="">
      <xdr:nvSpPr>
        <xdr:cNvPr id="63" name="txt_TourHeader" descr="Let the Function Wizard guide you">
          <a:extLst>
            <a:ext uri="{FF2B5EF4-FFF2-40B4-BE49-F238E27FC236}">
              <a16:creationId xmlns:a16="http://schemas.microsoft.com/office/drawing/2014/main" id="{83AD9D65-6832-4C8D-9DD3-D366BF3EAA96}"/>
            </a:ext>
          </a:extLst>
        </xdr:cNvPr>
        <xdr:cNvSpPr txBox="1"/>
      </xdr:nvSpPr>
      <xdr:spPr>
        <a:xfrm>
          <a:off x="567652" y="490010"/>
          <a:ext cx="5551207" cy="470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Laissez-vous guider par l’assistant de fonction</a:t>
          </a:r>
        </a:p>
      </xdr:txBody>
    </xdr:sp>
    <xdr:clientData/>
  </xdr:twoCellAnchor>
  <xdr:twoCellAnchor>
    <xdr:from>
      <xdr:col>0</xdr:col>
      <xdr:colOff>567653</xdr:colOff>
      <xdr:row>2</xdr:row>
      <xdr:rowOff>105836</xdr:rowOff>
    </xdr:from>
    <xdr:to>
      <xdr:col>1</xdr:col>
      <xdr:colOff>4863004</xdr:colOff>
      <xdr:row>2</xdr:row>
      <xdr:rowOff>105836</xdr:rowOff>
    </xdr:to>
    <xdr:cxnSp macro="">
      <xdr:nvCxnSpPr>
        <xdr:cNvPr id="64" name="txt_TourLine1" descr="Decorative line">
          <a:extLst>
            <a:ext uri="{FF2B5EF4-FFF2-40B4-BE49-F238E27FC236}">
              <a16:creationId xmlns:a16="http://schemas.microsoft.com/office/drawing/2014/main" id="{D8FD096E-9957-4C96-9E24-BC15AE704466}"/>
            </a:ext>
          </a:extLst>
        </xdr:cNvPr>
        <xdr:cNvCxnSpPr>
          <a:cxnSpLocks/>
        </xdr:cNvCxnSpPr>
      </xdr:nvCxnSpPr>
      <xdr:spPr>
        <a:xfrm>
          <a:off x="567653" y="1058336"/>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567653</xdr:colOff>
      <xdr:row>30</xdr:row>
      <xdr:rowOff>136956</xdr:rowOff>
    </xdr:from>
    <xdr:to>
      <xdr:col>1</xdr:col>
      <xdr:colOff>4863004</xdr:colOff>
      <xdr:row>30</xdr:row>
      <xdr:rowOff>136956</xdr:rowOff>
    </xdr:to>
    <xdr:cxnSp macro="">
      <xdr:nvCxnSpPr>
        <xdr:cNvPr id="65" name="txt_TourLine2" descr="Decorative line">
          <a:extLst>
            <a:ext uri="{FF2B5EF4-FFF2-40B4-BE49-F238E27FC236}">
              <a16:creationId xmlns:a16="http://schemas.microsoft.com/office/drawing/2014/main" id="{8AE36029-DE43-4E7F-9235-7AED0D64959D}"/>
            </a:ext>
          </a:extLst>
        </xdr:cNvPr>
        <xdr:cNvCxnSpPr>
          <a:cxnSpLocks/>
        </xdr:cNvCxnSpPr>
      </xdr:nvCxnSpPr>
      <xdr:spPr>
        <a:xfrm>
          <a:off x="567653" y="6452031"/>
          <a:ext cx="5162126"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564488</xdr:colOff>
      <xdr:row>2</xdr:row>
      <xdr:rowOff>137395</xdr:rowOff>
    </xdr:from>
    <xdr:to>
      <xdr:col>1</xdr:col>
      <xdr:colOff>4863194</xdr:colOff>
      <xdr:row>5</xdr:row>
      <xdr:rowOff>43796</xdr:rowOff>
    </xdr:to>
    <xdr:sp macro="" textlink="">
      <xdr:nvSpPr>
        <xdr:cNvPr id="66" name="txt_TourIntro" descr="If you know the name of the function you want, but you're not sure how to build it, you can use the Function Wizard to help you out.">
          <a:extLst>
            <a:ext uri="{FF2B5EF4-FFF2-40B4-BE49-F238E27FC236}">
              <a16:creationId xmlns:a16="http://schemas.microsoft.com/office/drawing/2014/main" id="{FABEC59D-5AEA-4C46-9000-A7FA99F54DC2}"/>
            </a:ext>
          </a:extLst>
        </xdr:cNvPr>
        <xdr:cNvSpPr txBox="1"/>
      </xdr:nvSpPr>
      <xdr:spPr>
        <a:xfrm>
          <a:off x="564488" y="1089895"/>
          <a:ext cx="5165481" cy="477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Si vous connaissez le nom de la fonction souhaitée, mais que vous n’êtes pas sûr de la façon de la créer, vous pouvez utiliser l’Assistant Fonction pour vous aider.</a:t>
          </a:r>
        </a:p>
      </xdr:txBody>
    </xdr:sp>
    <xdr:clientData/>
  </xdr:twoCellAnchor>
  <xdr:twoCellAnchor>
    <xdr:from>
      <xdr:col>0</xdr:col>
      <xdr:colOff>576262</xdr:colOff>
      <xdr:row>5</xdr:row>
      <xdr:rowOff>52621</xdr:rowOff>
    </xdr:from>
    <xdr:to>
      <xdr:col>1</xdr:col>
      <xdr:colOff>5105399</xdr:colOff>
      <xdr:row>8</xdr:row>
      <xdr:rowOff>32955</xdr:rowOff>
    </xdr:to>
    <xdr:grpSp>
      <xdr:nvGrpSpPr>
        <xdr:cNvPr id="67" name="grp_Step">
          <a:extLst>
            <a:ext uri="{FF2B5EF4-FFF2-40B4-BE49-F238E27FC236}">
              <a16:creationId xmlns:a16="http://schemas.microsoft.com/office/drawing/2014/main" id="{BD77C92C-5C36-46AE-A637-B10B8A476780}"/>
            </a:ext>
          </a:extLst>
        </xdr:cNvPr>
        <xdr:cNvGrpSpPr/>
      </xdr:nvGrpSpPr>
      <xdr:grpSpPr>
        <a:xfrm>
          <a:off x="576262" y="1569001"/>
          <a:ext cx="5420677" cy="544214"/>
          <a:chOff x="647700" y="7356482"/>
          <a:chExt cx="5491034" cy="527685"/>
        </a:xfrm>
      </xdr:grpSpPr>
      <xdr:sp macro="" textlink="">
        <xdr:nvSpPr>
          <xdr:cNvPr id="68" name="txt_Step" descr="Select cell D16, then go to Formulas &gt; Insert Function &gt; type VLOOKUP in the Search for a function box, and press GO. When you see VLOOKUP highlighted, click OK at the bottom. When you select a function in the list, Excel will display its syntax.&#10;">
            <a:extLst>
              <a:ext uri="{FF2B5EF4-FFF2-40B4-BE49-F238E27FC236}">
                <a16:creationId xmlns:a16="http://schemas.microsoft.com/office/drawing/2014/main" id="{0532D680-62D3-49C1-A9FC-9F775854E3A9}"/>
              </a:ext>
            </a:extLst>
          </xdr:cNvPr>
          <xdr:cNvSpPr txBox="1"/>
        </xdr:nvSpPr>
        <xdr:spPr>
          <a:xfrm>
            <a:off x="1079356" y="7356482"/>
            <a:ext cx="5059378" cy="5276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lang="en-US" sz="1100" b="0" i="0" u="none" strike="noStrike" kern="1200">
                <a:solidFill>
                  <a:schemeClr val="dk1"/>
                </a:solidFill>
                <a:effectLst/>
                <a:latin typeface="Segoe UI" panose="020B0502040204020203" pitchFamily="34" charset="0"/>
                <a:ea typeface="+mn-ea"/>
                <a:cs typeface="Segoe UI" panose="020B0502040204020203" pitchFamily="34" charset="0"/>
              </a:rPr>
              <a:t>Sélectionnez la cellule </a:t>
            </a:r>
            <a:r>
              <a:rPr lang="en-US" sz="1100" b="1" i="0" u="none" strike="noStrike" kern="1200">
                <a:solidFill>
                  <a:schemeClr val="dk1"/>
                </a:solidFill>
                <a:effectLst/>
                <a:latin typeface="Segoe UI" panose="020B0502040204020203" pitchFamily="34" charset="0"/>
                <a:ea typeface="+mn-ea"/>
                <a:cs typeface="Segoe UI" panose="020B0502040204020203" pitchFamily="34" charset="0"/>
              </a:rPr>
              <a:t>D10</a:t>
            </a:r>
            <a:r>
              <a:rPr lang="en-US" sz="1100" b="0" i="0" u="none" strike="noStrike" kern="1200">
                <a:solidFill>
                  <a:schemeClr val="dk1"/>
                </a:solidFill>
                <a:effectLst/>
                <a:latin typeface="Segoe UI" panose="020B0502040204020203" pitchFamily="34" charset="0"/>
                <a:ea typeface="+mn-ea"/>
                <a:cs typeface="Segoe UI" panose="020B0502040204020203" pitchFamily="34" charset="0"/>
              </a:rPr>
              <a:t>, puis allez dans </a:t>
            </a:r>
            <a:r>
              <a:rPr lang="en-US" sz="1100" b="1" i="0" u="none" strike="noStrike" kern="1200">
                <a:solidFill>
                  <a:schemeClr val="dk1"/>
                </a:solidFill>
                <a:effectLst/>
                <a:latin typeface="Segoe UI" panose="020B0502040204020203" pitchFamily="34" charset="0"/>
                <a:ea typeface="+mn-ea"/>
                <a:cs typeface="Segoe UI" panose="020B0502040204020203" pitchFamily="34" charset="0"/>
              </a:rPr>
              <a:t>Formules &gt; Insérer une fonction &gt; tapez RECHERCHEV</a:t>
            </a:r>
            <a:r>
              <a:rPr lang="en-US" sz="1100" b="0" i="0" u="none" strike="noStrike" kern="1200">
                <a:solidFill>
                  <a:schemeClr val="dk1"/>
                </a:solidFill>
                <a:effectLst/>
                <a:latin typeface="Segoe UI" panose="020B0502040204020203" pitchFamily="34" charset="0"/>
                <a:ea typeface="+mn-ea"/>
                <a:cs typeface="Segoe UI" panose="020B0502040204020203" pitchFamily="34" charset="0"/>
              </a:rPr>
              <a:t> dans la zone Rechercher une fonction, puis appuyez sur </a:t>
            </a:r>
            <a:r>
              <a:rPr lang="en-US" sz="1100" b="1" i="0" u="none" strike="noStrike" kern="1200">
                <a:solidFill>
                  <a:schemeClr val="dk1"/>
                </a:solidFill>
                <a:effectLst/>
                <a:latin typeface="Segoe UI" panose="020B0502040204020203" pitchFamily="34" charset="0"/>
                <a:ea typeface="+mn-ea"/>
                <a:cs typeface="Segoe UI" panose="020B0502040204020203" pitchFamily="34" charset="0"/>
              </a:rPr>
              <a:t>Entrée</a:t>
            </a:r>
            <a:r>
              <a:rPr lang="en-US" sz="1100" b="0" i="0" u="none" strike="noStrike" kern="1200">
                <a:solidFill>
                  <a:schemeClr val="dk1"/>
                </a:solidFill>
                <a:effectLst/>
                <a:latin typeface="Segoe UI" panose="020B0502040204020203" pitchFamily="34" charset="0"/>
                <a:ea typeface="+mn-ea"/>
                <a:cs typeface="Segoe UI" panose="020B0502040204020203" pitchFamily="34" charset="0"/>
              </a:rPr>
              <a:t>. Lorsque vous voyez </a:t>
            </a:r>
            <a:r>
              <a:rPr lang="en-US" sz="1100" b="1" i="0" u="none" strike="noStrike" kern="1200">
                <a:solidFill>
                  <a:schemeClr val="dk1"/>
                </a:solidFill>
                <a:effectLst/>
                <a:latin typeface="Segoe UI" panose="020B0502040204020203" pitchFamily="34" charset="0"/>
                <a:ea typeface="+mn-ea"/>
                <a:cs typeface="Segoe UI" panose="020B0502040204020203" pitchFamily="34" charset="0"/>
              </a:rPr>
              <a:t>RECHERCHEV </a:t>
            </a:r>
            <a:r>
              <a:rPr lang="en-US" sz="1100" b="0" i="0" u="none" strike="noStrike" kern="1200">
                <a:solidFill>
                  <a:schemeClr val="dk1"/>
                </a:solidFill>
                <a:effectLst/>
                <a:latin typeface="Segoe UI" panose="020B0502040204020203" pitchFamily="34" charset="0"/>
                <a:ea typeface="+mn-ea"/>
                <a:cs typeface="Segoe UI" panose="020B0502040204020203" pitchFamily="34" charset="0"/>
              </a:rPr>
              <a:t>en surbrillance, cliquez sur </a:t>
            </a:r>
            <a:r>
              <a:rPr lang="en-US" sz="1100" b="1" i="0" u="none" strike="noStrike" kern="1200">
                <a:solidFill>
                  <a:schemeClr val="dk1"/>
                </a:solidFill>
                <a:effectLst/>
                <a:latin typeface="Segoe UI" panose="020B0502040204020203" pitchFamily="34" charset="0"/>
                <a:ea typeface="+mn-ea"/>
                <a:cs typeface="Segoe UI" panose="020B0502040204020203" pitchFamily="34" charset="0"/>
              </a:rPr>
              <a:t>OK </a:t>
            </a:r>
            <a:r>
              <a:rPr lang="en-US" sz="1100" b="0" i="0" u="none" strike="noStrike" kern="1200">
                <a:solidFill>
                  <a:schemeClr val="dk1"/>
                </a:solidFill>
                <a:effectLst/>
                <a:latin typeface="Segoe UI" panose="020B0502040204020203" pitchFamily="34" charset="0"/>
                <a:ea typeface="+mn-ea"/>
                <a:cs typeface="Segoe UI" panose="020B0502040204020203" pitchFamily="34" charset="0"/>
              </a:rPr>
              <a:t>en bas. Lorsque vous sélectionnez une fonction dans la liste, Excel affiche sa syntaxe.</a:t>
            </a:r>
            <a:endPar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sp macro="" textlink="">
        <xdr:nvSpPr>
          <xdr:cNvPr id="69" name="shp_Step" descr="1">
            <a:extLst>
              <a:ext uri="{FF2B5EF4-FFF2-40B4-BE49-F238E27FC236}">
                <a16:creationId xmlns:a16="http://schemas.microsoft.com/office/drawing/2014/main" id="{215648BB-0134-4C42-A6F9-AC13CE6B572C}"/>
              </a:ext>
            </a:extLst>
          </xdr:cNvPr>
          <xdr:cNvSpPr/>
        </xdr:nvSpPr>
        <xdr:spPr>
          <a:xfrm>
            <a:off x="647700" y="7419975"/>
            <a:ext cx="394065" cy="349280"/>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xdr:from>
      <xdr:col>0</xdr:col>
      <xdr:colOff>576262</xdr:colOff>
      <xdr:row>10</xdr:row>
      <xdr:rowOff>80964</xdr:rowOff>
    </xdr:from>
    <xdr:to>
      <xdr:col>1</xdr:col>
      <xdr:colOff>4905374</xdr:colOff>
      <xdr:row>13</xdr:row>
      <xdr:rowOff>105671</xdr:rowOff>
    </xdr:to>
    <xdr:grpSp>
      <xdr:nvGrpSpPr>
        <xdr:cNvPr id="71" name="grp_Step">
          <a:extLst>
            <a:ext uri="{FF2B5EF4-FFF2-40B4-BE49-F238E27FC236}">
              <a16:creationId xmlns:a16="http://schemas.microsoft.com/office/drawing/2014/main" id="{BF405A0F-7FA6-4E62-A4D2-D48FD5B37F21}"/>
            </a:ext>
          </a:extLst>
        </xdr:cNvPr>
        <xdr:cNvGrpSpPr/>
      </xdr:nvGrpSpPr>
      <xdr:grpSpPr>
        <a:xfrm>
          <a:off x="576262" y="2549844"/>
          <a:ext cx="5220652" cy="580967"/>
          <a:chOff x="609600" y="7810500"/>
          <a:chExt cx="5186234" cy="596207"/>
        </a:xfrm>
      </xdr:grpSpPr>
      <xdr:sp macro="" textlink="">
        <xdr:nvSpPr>
          <xdr:cNvPr id="72" name="txt_Step" descr="Next, enter the function arguments in their respective text boxes. As you enter each one, Excel will evaluate it, and show you its result, with the final result at the bottom. As you enter each section, the criteria for each argument is listed at the bottom of the form.  Press OK when you're done, and Excel will enter the formula for you.&#10;&#10;">
            <a:extLst>
              <a:ext uri="{FF2B5EF4-FFF2-40B4-BE49-F238E27FC236}">
                <a16:creationId xmlns:a16="http://schemas.microsoft.com/office/drawing/2014/main" id="{A358580A-E770-426C-AC4A-D3576DB6F54D}"/>
              </a:ext>
            </a:extLst>
          </xdr:cNvPr>
          <xdr:cNvSpPr txBox="1"/>
        </xdr:nvSpPr>
        <xdr:spPr>
          <a:xfrm>
            <a:off x="1017295" y="7852458"/>
            <a:ext cx="4778539"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Entrez ensuite les arguments de fonction dans leurs zones de texte respectives. Au fur et à mesure que vous entrez chacun d’eux, Excel l’évalue et vous montre son résultat, avec le résultat final en bas. Appuyez sur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OK</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lorsque vous avez terminé, et Excel entrera la formule pour vous.</a:t>
            </a:r>
          </a:p>
        </xdr:txBody>
      </xdr:sp>
      <xdr:sp macro="" textlink="">
        <xdr:nvSpPr>
          <xdr:cNvPr id="73" name="shp_Step" descr="2">
            <a:extLst>
              <a:ext uri="{FF2B5EF4-FFF2-40B4-BE49-F238E27FC236}">
                <a16:creationId xmlns:a16="http://schemas.microsoft.com/office/drawing/2014/main" id="{C005430B-3DD1-4151-A947-1D4633E6F168}"/>
              </a:ext>
            </a:extLst>
          </xdr:cNvPr>
          <xdr:cNvSpPr/>
        </xdr:nvSpPr>
        <xdr:spPr>
          <a:xfrm>
            <a:off x="609600" y="7810500"/>
            <a:ext cx="37219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561974</xdr:colOff>
      <xdr:row>31</xdr:row>
      <xdr:rowOff>128589</xdr:rowOff>
    </xdr:from>
    <xdr:to>
      <xdr:col>1</xdr:col>
      <xdr:colOff>970369</xdr:colOff>
      <xdr:row>33</xdr:row>
      <xdr:rowOff>83038</xdr:rowOff>
    </xdr:to>
    <xdr:sp macro="" textlink="">
      <xdr:nvSpPr>
        <xdr:cNvPr id="74" name="PreviousButton" descr="Return to the previous sheet">
          <a:hlinkClick xmlns:r="http://schemas.openxmlformats.org/officeDocument/2006/relationships" r:id="rId9" tooltip="Click here to go back to the previous sheet"/>
          <a:extLst>
            <a:ext uri="{FF2B5EF4-FFF2-40B4-BE49-F238E27FC236}">
              <a16:creationId xmlns:a16="http://schemas.microsoft.com/office/drawing/2014/main" id="{5E40797B-36B9-4C1B-9AE0-EA6AD5EEF027}"/>
            </a:ext>
          </a:extLst>
        </xdr:cNvPr>
        <xdr:cNvSpPr/>
      </xdr:nvSpPr>
      <xdr:spPr>
        <a:xfrm flipH="1">
          <a:off x="561974"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Précédent</a:t>
          </a:r>
        </a:p>
      </xdr:txBody>
    </xdr:sp>
    <xdr:clientData fPrintsWithSheet="0"/>
  </xdr:twoCellAnchor>
  <xdr:twoCellAnchor editAs="absolute">
    <xdr:from>
      <xdr:col>1</xdr:col>
      <xdr:colOff>3646535</xdr:colOff>
      <xdr:row>31</xdr:row>
      <xdr:rowOff>128589</xdr:rowOff>
    </xdr:from>
    <xdr:to>
      <xdr:col>1</xdr:col>
      <xdr:colOff>4921705</xdr:colOff>
      <xdr:row>33</xdr:row>
      <xdr:rowOff>83038</xdr:rowOff>
    </xdr:to>
    <xdr:sp macro="" textlink="">
      <xdr:nvSpPr>
        <xdr:cNvPr id="75" name="NextButton" descr="Advance to the next sheet">
          <a:hlinkClick xmlns:r="http://schemas.openxmlformats.org/officeDocument/2006/relationships" r:id="rId10" tooltip="Click here to advance to the next sheet"/>
          <a:extLst>
            <a:ext uri="{FF2B5EF4-FFF2-40B4-BE49-F238E27FC236}">
              <a16:creationId xmlns:a16="http://schemas.microsoft.com/office/drawing/2014/main" id="{1C0B3F5D-086A-4A30-A12D-A0A3DB6D24E2}"/>
            </a:ext>
          </a:extLst>
        </xdr:cNvPr>
        <xdr:cNvSpPr/>
      </xdr:nvSpPr>
      <xdr:spPr>
        <a:xfrm>
          <a:off x="4513310" y="6634164"/>
          <a:ext cx="1275170"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Suivant</a:t>
          </a:r>
        </a:p>
      </xdr:txBody>
    </xdr:sp>
    <xdr:clientData fPrintsWithSheet="0"/>
  </xdr:twoCellAnchor>
  <xdr:twoCellAnchor editAs="oneCell">
    <xdr:from>
      <xdr:col>0</xdr:col>
      <xdr:colOff>419100</xdr:colOff>
      <xdr:row>15</xdr:row>
      <xdr:rowOff>76200</xdr:rowOff>
    </xdr:from>
    <xdr:to>
      <xdr:col>1</xdr:col>
      <xdr:colOff>5181600</xdr:colOff>
      <xdr:row>30</xdr:row>
      <xdr:rowOff>22972</xdr:rowOff>
    </xdr:to>
    <xdr:pic>
      <xdr:nvPicPr>
        <xdr:cNvPr id="9" name="Image 8">
          <a:extLst>
            <a:ext uri="{FF2B5EF4-FFF2-40B4-BE49-F238E27FC236}">
              <a16:creationId xmlns:a16="http://schemas.microsoft.com/office/drawing/2014/main" id="{8587B567-6888-CFAE-ABDC-94BE13A51607}"/>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419100" y="3467100"/>
          <a:ext cx="5654040" cy="2689972"/>
        </a:xfrm>
        <a:prstGeom prst="rect">
          <a:avLst/>
        </a:prstGeom>
        <a:ln w="12700">
          <a:solidFill>
            <a:schemeClr val="accent6"/>
          </a:solidFill>
        </a:ln>
      </xdr:spPr>
    </xdr:pic>
    <xdr:clientData/>
  </xdr:twoCellAnchor>
  <xdr:twoCellAnchor>
    <xdr:from>
      <xdr:col>1</xdr:col>
      <xdr:colOff>1521504</xdr:colOff>
      <xdr:row>16</xdr:row>
      <xdr:rowOff>76200</xdr:rowOff>
    </xdr:from>
    <xdr:to>
      <xdr:col>6</xdr:col>
      <xdr:colOff>548640</xdr:colOff>
      <xdr:row>37</xdr:row>
      <xdr:rowOff>178627</xdr:rowOff>
    </xdr:to>
    <xdr:grpSp>
      <xdr:nvGrpSpPr>
        <xdr:cNvPr id="8" name="Group 7">
          <a:extLst>
            <a:ext uri="{FF2B5EF4-FFF2-40B4-BE49-F238E27FC236}">
              <a16:creationId xmlns:a16="http://schemas.microsoft.com/office/drawing/2014/main" id="{8F43BB86-459B-4A39-BF41-D15966065CB8}"/>
            </a:ext>
          </a:extLst>
        </xdr:cNvPr>
        <xdr:cNvGrpSpPr/>
      </xdr:nvGrpSpPr>
      <xdr:grpSpPr>
        <a:xfrm>
          <a:off x="2413044" y="3649980"/>
          <a:ext cx="8087316" cy="3942907"/>
          <a:chOff x="2411139" y="6952954"/>
          <a:chExt cx="7523436" cy="3716508"/>
        </a:xfrm>
      </xdr:grpSpPr>
      <xdr:grpSp>
        <xdr:nvGrpSpPr>
          <xdr:cNvPr id="96" name="Group 95">
            <a:extLst>
              <a:ext uri="{FF2B5EF4-FFF2-40B4-BE49-F238E27FC236}">
                <a16:creationId xmlns:a16="http://schemas.microsoft.com/office/drawing/2014/main" id="{577BB227-C2B4-49F0-A57F-186EA94E85EE}"/>
              </a:ext>
            </a:extLst>
          </xdr:cNvPr>
          <xdr:cNvGrpSpPr/>
        </xdr:nvGrpSpPr>
        <xdr:grpSpPr>
          <a:xfrm>
            <a:off x="2740763" y="6952954"/>
            <a:ext cx="6917587" cy="1721004"/>
            <a:chOff x="2902689" y="6567190"/>
            <a:chExt cx="6917587" cy="1721004"/>
          </a:xfrm>
        </xdr:grpSpPr>
        <xdr:grpSp>
          <xdr:nvGrpSpPr>
            <xdr:cNvPr id="97" name="GOOD TO KNOW" descr="GOOD TO KNOW&#10;&#10;">
              <a:extLst>
                <a:ext uri="{FF2B5EF4-FFF2-40B4-BE49-F238E27FC236}">
                  <a16:creationId xmlns:a16="http://schemas.microsoft.com/office/drawing/2014/main" id="{FC9A679E-BCF4-47F2-9013-DDD119FE3134}"/>
                </a:ext>
              </a:extLst>
            </xdr:cNvPr>
            <xdr:cNvGrpSpPr/>
          </xdr:nvGrpSpPr>
          <xdr:grpSpPr>
            <a:xfrm>
              <a:off x="6391276" y="6567190"/>
              <a:ext cx="3429000" cy="1721004"/>
              <a:chOff x="6778625" y="15564811"/>
              <a:chExt cx="3538099" cy="1653047"/>
            </a:xfrm>
          </xdr:grpSpPr>
          <xdr:pic>
            <xdr:nvPicPr>
              <xdr:cNvPr id="100" name="Graphic 147" descr="Glasses">
                <a:extLst>
                  <a:ext uri="{FF2B5EF4-FFF2-40B4-BE49-F238E27FC236}">
                    <a16:creationId xmlns:a16="http://schemas.microsoft.com/office/drawing/2014/main" id="{5453A0B2-78C5-4344-8F52-8FD3B6FD4BF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778625" y="15564811"/>
                <a:ext cx="323347" cy="349115"/>
              </a:xfrm>
              <a:prstGeom prst="rect">
                <a:avLst/>
              </a:prstGeom>
            </xdr:spPr>
          </xdr:pic>
          <xdr:sp macro="" textlink="">
            <xdr:nvSpPr>
              <xdr:cNvPr id="99" name="Step" descr="GOOD TO KNOW&#10;You can type cell and range references, or select them with your mouse.&#10;&#10;">
                <a:extLst>
                  <a:ext uri="{FF2B5EF4-FFF2-40B4-BE49-F238E27FC236}">
                    <a16:creationId xmlns:a16="http://schemas.microsoft.com/office/drawing/2014/main" id="{F0AD040B-5C25-478A-B090-2BEE04AE7896}"/>
                  </a:ext>
                </a:extLst>
              </xdr:cNvPr>
              <xdr:cNvSpPr txBox="1"/>
            </xdr:nvSpPr>
            <xdr:spPr>
              <a:xfrm>
                <a:off x="7033130" y="15592258"/>
                <a:ext cx="3283594"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BON A SAVOIR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Vous pouvez taper des références de cellule et de plage, ou les sélectionner à l’aide de votre souris.</a:t>
                </a:r>
                <a:endParaRPr lang="en-US" sz="1100">
                  <a:effectLst/>
                  <a:latin typeface="+mn-lt"/>
                </a:endParaRPr>
              </a:p>
            </xdr:txBody>
          </xdr:sp>
        </xdr:grpSp>
        <xdr:cxnSp macro="">
          <xdr:nvCxnSpPr>
            <xdr:cNvPr id="98" name="Connector: Curved 97">
              <a:extLst>
                <a:ext uri="{FF2B5EF4-FFF2-40B4-BE49-F238E27FC236}">
                  <a16:creationId xmlns:a16="http://schemas.microsoft.com/office/drawing/2014/main" id="{0CC08E43-E456-4C6F-8248-9D4BC059339B}"/>
                </a:ext>
              </a:extLst>
            </xdr:cNvPr>
            <xdr:cNvCxnSpPr/>
          </xdr:nvCxnSpPr>
          <xdr:spPr>
            <a:xfrm rot="10800000" flipV="1">
              <a:off x="2902689" y="6826127"/>
              <a:ext cx="3409950" cy="285751"/>
            </a:xfrm>
            <a:prstGeom prst="curvedConnector3">
              <a:avLst>
                <a:gd name="adj1" fmla="val 100000"/>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grpSp>
      <xdr:grpSp>
        <xdr:nvGrpSpPr>
          <xdr:cNvPr id="101" name="GOOD TO KNOW" descr="GOOD TO KNOW&#10;&#10;">
            <a:extLst>
              <a:ext uri="{FF2B5EF4-FFF2-40B4-BE49-F238E27FC236}">
                <a16:creationId xmlns:a16="http://schemas.microsoft.com/office/drawing/2014/main" id="{822A9B89-A4CF-41F0-9CCC-5CA5434235A5}"/>
              </a:ext>
            </a:extLst>
          </xdr:cNvPr>
          <xdr:cNvGrpSpPr/>
        </xdr:nvGrpSpPr>
        <xdr:grpSpPr>
          <a:xfrm>
            <a:off x="2411139" y="8673756"/>
            <a:ext cx="7523436" cy="1995706"/>
            <a:chOff x="2779964" y="15904785"/>
            <a:chExt cx="6772887" cy="1916900"/>
          </a:xfrm>
        </xdr:grpSpPr>
        <xdr:pic>
          <xdr:nvPicPr>
            <xdr:cNvPr id="103" name="Graphic 147" descr="Glasses">
              <a:extLst>
                <a:ext uri="{FF2B5EF4-FFF2-40B4-BE49-F238E27FC236}">
                  <a16:creationId xmlns:a16="http://schemas.microsoft.com/office/drawing/2014/main" id="{EFFF6D28-D18B-4B89-936E-DF6191BD0EB9}"/>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120676" y="16196085"/>
              <a:ext cx="323347" cy="349115"/>
            </a:xfrm>
            <a:prstGeom prst="rect">
              <a:avLst/>
            </a:prstGeom>
          </xdr:spPr>
        </xdr:pic>
        <xdr:sp macro="" textlink="">
          <xdr:nvSpPr>
            <xdr:cNvPr id="102" name="Step" descr="GOOD TO KNOW&#10;As you enter each argument's section, the argument's description will be displayed toward the bottom of the form, above the Formula result.&#10;">
              <a:extLst>
                <a:ext uri="{FF2B5EF4-FFF2-40B4-BE49-F238E27FC236}">
                  <a16:creationId xmlns:a16="http://schemas.microsoft.com/office/drawing/2014/main" id="{F8A28036-EB7B-47D2-8921-DEDF7787534A}"/>
                </a:ext>
              </a:extLst>
            </xdr:cNvPr>
            <xdr:cNvSpPr txBox="1"/>
          </xdr:nvSpPr>
          <xdr:spPr>
            <a:xfrm>
              <a:off x="6385009" y="16196085"/>
              <a:ext cx="3167842" cy="162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BON</a:t>
              </a:r>
              <a:r>
                <a:rPr lang="en-US" sz="1200" b="1" kern="0" baseline="0">
                  <a:solidFill>
                    <a:srgbClr val="ED7D31">
                      <a:lumMod val="60000"/>
                      <a:lumOff val="40000"/>
                    </a:srgbClr>
                  </a:solidFill>
                  <a:latin typeface="+mj-lt"/>
                  <a:ea typeface="Segoe UI" pitchFamily="34" charset="0"/>
                  <a:cs typeface="Segoe UI Light" panose="020B0502040204020203" pitchFamily="34" charset="0"/>
                </a:rPr>
                <a:t> A SAVOIR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Lorsque vous entrez la section de chaque argument, la description de l’argument s’affiche vers le bas du formulaire, au-dessus du résultat de la formule.</a:t>
              </a:r>
              <a:endParaRPr lang="en-US" sz="1100">
                <a:effectLst/>
                <a:latin typeface="+mn-lt"/>
              </a:endParaRPr>
            </a:p>
          </xdr:txBody>
        </xdr:sp>
        <xdr:sp macro="" textlink="">
          <xdr:nvSpPr>
            <xdr:cNvPr id="104" name="Freeform: Shape 103" descr="Arrrow">
              <a:extLst>
                <a:ext uri="{FF2B5EF4-FFF2-40B4-BE49-F238E27FC236}">
                  <a16:creationId xmlns:a16="http://schemas.microsoft.com/office/drawing/2014/main" id="{41D03DA7-0CB4-4D50-87B6-9CBB73CABAAD}"/>
                </a:ext>
              </a:extLst>
            </xdr:cNvPr>
            <xdr:cNvSpPr/>
          </xdr:nvSpPr>
          <xdr:spPr>
            <a:xfrm rot="16200000" flipH="1" flipV="1">
              <a:off x="4551447" y="14133302"/>
              <a:ext cx="284005" cy="3826972"/>
            </a:xfrm>
            <a:custGeom>
              <a:avLst/>
              <a:gdLst>
                <a:gd name="connsiteX0" fmla="*/ 279015 w 279015"/>
                <a:gd name="connsiteY0" fmla="*/ 99249 h 1391008"/>
                <a:gd name="connsiteX1" fmla="*/ 134697 w 279015"/>
                <a:gd name="connsiteY1" fmla="*/ 118492 h 1391008"/>
                <a:gd name="connsiteX2" fmla="*/ 211667 w 279015"/>
                <a:gd name="connsiteY2" fmla="*/ 1282658 h 1391008"/>
                <a:gd name="connsiteX3" fmla="*/ 0 w 279015"/>
                <a:gd name="connsiteY3" fmla="*/ 1340386 h 1391008"/>
                <a:gd name="connsiteX4" fmla="*/ 0 w 279015"/>
                <a:gd name="connsiteY4" fmla="*/ 1340386 h 1391008"/>
                <a:gd name="connsiteX0" fmla="*/ 279015 w 279015"/>
                <a:gd name="connsiteY0" fmla="*/ 32141 h 1310271"/>
                <a:gd name="connsiteX1" fmla="*/ 152422 w 279015"/>
                <a:gd name="connsiteY1" fmla="*/ 244286 h 1310271"/>
                <a:gd name="connsiteX2" fmla="*/ 211667 w 279015"/>
                <a:gd name="connsiteY2" fmla="*/ 1215550 h 1310271"/>
                <a:gd name="connsiteX3" fmla="*/ 0 w 279015"/>
                <a:gd name="connsiteY3" fmla="*/ 1273278 h 1310271"/>
                <a:gd name="connsiteX4" fmla="*/ 0 w 279015"/>
                <a:gd name="connsiteY4" fmla="*/ 1273278 h 1310271"/>
                <a:gd name="connsiteX0" fmla="*/ 279015 w 279015"/>
                <a:gd name="connsiteY0" fmla="*/ 2960 h 1281090"/>
                <a:gd name="connsiteX1" fmla="*/ 152422 w 279015"/>
                <a:gd name="connsiteY1" fmla="*/ 215105 h 1281090"/>
                <a:gd name="connsiteX2" fmla="*/ 211667 w 279015"/>
                <a:gd name="connsiteY2" fmla="*/ 1186369 h 1281090"/>
                <a:gd name="connsiteX3" fmla="*/ 0 w 279015"/>
                <a:gd name="connsiteY3" fmla="*/ 1244097 h 1281090"/>
                <a:gd name="connsiteX4" fmla="*/ 0 w 279015"/>
                <a:gd name="connsiteY4" fmla="*/ 1244097 h 1281090"/>
              </a:gdLst>
              <a:ahLst/>
              <a:cxnLst>
                <a:cxn ang="0">
                  <a:pos x="connsiteX0" y="connsiteY0"/>
                </a:cxn>
                <a:cxn ang="0">
                  <a:pos x="connsiteX1" y="connsiteY1"/>
                </a:cxn>
                <a:cxn ang="0">
                  <a:pos x="connsiteX2" y="connsiteY2"/>
                </a:cxn>
                <a:cxn ang="0">
                  <a:pos x="connsiteX3" y="connsiteY3"/>
                </a:cxn>
                <a:cxn ang="0">
                  <a:pos x="connsiteX4" y="connsiteY4"/>
                </a:cxn>
              </a:cxnLst>
              <a:rect l="l" t="t" r="r" b="b"/>
              <a:pathLst>
                <a:path w="279015" h="1281090">
                  <a:moveTo>
                    <a:pt x="279015" y="2960"/>
                  </a:moveTo>
                  <a:cubicBezTo>
                    <a:pt x="162617" y="-10856"/>
                    <a:pt x="163647" y="17870"/>
                    <a:pt x="152422" y="215105"/>
                  </a:cubicBezTo>
                  <a:cubicBezTo>
                    <a:pt x="141197" y="412340"/>
                    <a:pt x="237071" y="1014870"/>
                    <a:pt x="211667" y="1186369"/>
                  </a:cubicBezTo>
                  <a:cubicBezTo>
                    <a:pt x="186263" y="1357868"/>
                    <a:pt x="0" y="1244097"/>
                    <a:pt x="0" y="1244097"/>
                  </a:cubicBezTo>
                  <a:lnTo>
                    <a:pt x="0" y="1244097"/>
                  </a:lnTo>
                </a:path>
              </a:pathLst>
            </a:cu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grpSp>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373380</xdr:colOff>
      <xdr:row>0</xdr:row>
      <xdr:rowOff>361950</xdr:rowOff>
    </xdr:from>
    <xdr:to>
      <xdr:col>1</xdr:col>
      <xdr:colOff>5240655</xdr:colOff>
      <xdr:row>48</xdr:row>
      <xdr:rowOff>180976</xdr:rowOff>
    </xdr:to>
    <xdr:sp macro="" textlink="">
      <xdr:nvSpPr>
        <xdr:cNvPr id="49" name="txt_TourBackground" descr="Background">
          <a:extLst>
            <a:ext uri="{FF2B5EF4-FFF2-40B4-BE49-F238E27FC236}">
              <a16:creationId xmlns:a16="http://schemas.microsoft.com/office/drawing/2014/main" id="{82635223-B159-4E05-9CEC-2A2F6DF969F2}"/>
            </a:ext>
          </a:extLst>
        </xdr:cNvPr>
        <xdr:cNvSpPr/>
      </xdr:nvSpPr>
      <xdr:spPr>
        <a:xfrm>
          <a:off x="373380" y="361950"/>
          <a:ext cx="5758815" cy="9252586"/>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2200">
            <a:solidFill>
              <a:sysClr val="windowText" lastClr="000000"/>
            </a:solidFill>
            <a:latin typeface="Segoe UI Light" panose="020B0502040204020203" pitchFamily="34" charset="0"/>
            <a:cs typeface="Segoe UI Light" panose="020B0502040204020203" pitchFamily="34" charset="0"/>
          </a:endParaRPr>
        </a:p>
      </xdr:txBody>
    </xdr:sp>
    <xdr:clientData/>
  </xdr:twoCellAnchor>
  <xdr:twoCellAnchor editAs="absolute">
    <xdr:from>
      <xdr:col>0</xdr:col>
      <xdr:colOff>565153</xdr:colOff>
      <xdr:row>0</xdr:row>
      <xdr:rowOff>457199</xdr:rowOff>
    </xdr:from>
    <xdr:to>
      <xdr:col>1</xdr:col>
      <xdr:colOff>4949822</xdr:colOff>
      <xdr:row>1</xdr:row>
      <xdr:rowOff>152400</xdr:rowOff>
    </xdr:to>
    <xdr:sp macro="" textlink="">
      <xdr:nvSpPr>
        <xdr:cNvPr id="50" name="txt_TourHeader" descr="Fixing formula errors">
          <a:extLst>
            <a:ext uri="{FF2B5EF4-FFF2-40B4-BE49-F238E27FC236}">
              <a16:creationId xmlns:a16="http://schemas.microsoft.com/office/drawing/2014/main" id="{05227845-B4BB-432C-8781-4109C43593D7}"/>
            </a:ext>
          </a:extLst>
        </xdr:cNvPr>
        <xdr:cNvSpPr txBox="1"/>
      </xdr:nvSpPr>
      <xdr:spPr>
        <a:xfrm>
          <a:off x="565153" y="457199"/>
          <a:ext cx="5276209" cy="4572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Correction des erreurs de formule</a:t>
          </a:r>
        </a:p>
      </xdr:txBody>
    </xdr:sp>
    <xdr:clientData/>
  </xdr:twoCellAnchor>
  <xdr:twoCellAnchor editAs="absolute">
    <xdr:from>
      <xdr:col>0</xdr:col>
      <xdr:colOff>534673</xdr:colOff>
      <xdr:row>1</xdr:row>
      <xdr:rowOff>175261</xdr:rowOff>
    </xdr:from>
    <xdr:to>
      <xdr:col>1</xdr:col>
      <xdr:colOff>4916146</xdr:colOff>
      <xdr:row>1</xdr:row>
      <xdr:rowOff>175261</xdr:rowOff>
    </xdr:to>
    <xdr:cxnSp macro="">
      <xdr:nvCxnSpPr>
        <xdr:cNvPr id="51" name="txt_TourLine1" descr="Decorative line">
          <a:extLst>
            <a:ext uri="{FF2B5EF4-FFF2-40B4-BE49-F238E27FC236}">
              <a16:creationId xmlns:a16="http://schemas.microsoft.com/office/drawing/2014/main" id="{667B22D5-9F0D-4C3A-94F4-DCD9CA9B8E5C}"/>
            </a:ext>
          </a:extLst>
        </xdr:cNvPr>
        <xdr:cNvCxnSpPr>
          <a:cxnSpLocks/>
        </xdr:cNvCxnSpPr>
      </xdr:nvCxnSpPr>
      <xdr:spPr>
        <a:xfrm>
          <a:off x="534673" y="937261"/>
          <a:ext cx="5273013"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565153</xdr:colOff>
      <xdr:row>45</xdr:row>
      <xdr:rowOff>78316</xdr:rowOff>
    </xdr:from>
    <xdr:to>
      <xdr:col>1</xdr:col>
      <xdr:colOff>4946626</xdr:colOff>
      <xdr:row>45</xdr:row>
      <xdr:rowOff>78316</xdr:rowOff>
    </xdr:to>
    <xdr:cxnSp macro="">
      <xdr:nvCxnSpPr>
        <xdr:cNvPr id="52" name="txt_TourLine2" descr="Decorative line">
          <a:extLst>
            <a:ext uri="{FF2B5EF4-FFF2-40B4-BE49-F238E27FC236}">
              <a16:creationId xmlns:a16="http://schemas.microsoft.com/office/drawing/2014/main" id="{B4EB5A39-3087-404B-86D1-9EB6F9D1ABB3}"/>
            </a:ext>
          </a:extLst>
        </xdr:cNvPr>
        <xdr:cNvCxnSpPr>
          <a:cxnSpLocks/>
        </xdr:cNvCxnSpPr>
      </xdr:nvCxnSpPr>
      <xdr:spPr>
        <a:xfrm>
          <a:off x="565153" y="9298516"/>
          <a:ext cx="5248248"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548803</xdr:colOff>
      <xdr:row>1</xdr:row>
      <xdr:rowOff>140096</xdr:rowOff>
    </xdr:from>
    <xdr:to>
      <xdr:col>1</xdr:col>
      <xdr:colOff>4933472</xdr:colOff>
      <xdr:row>7</xdr:row>
      <xdr:rowOff>76200</xdr:rowOff>
    </xdr:to>
    <xdr:sp macro="" textlink="">
      <xdr:nvSpPr>
        <xdr:cNvPr id="53" name="txt_TourIntro" descr="At some point in time, you'll run across a formula that has an error, which Excel will display with #ErrorName!. Errors can be helpful, because they point out when something's not working right, but they can be challenging to fix. Fortunately, there several options that can help you track down the source of the error, and fix it.">
          <a:extLst>
            <a:ext uri="{FF2B5EF4-FFF2-40B4-BE49-F238E27FC236}">
              <a16:creationId xmlns:a16="http://schemas.microsoft.com/office/drawing/2014/main" id="{129F9FEB-45A7-4164-9E1F-0EF1DB2D9BC8}"/>
            </a:ext>
          </a:extLst>
        </xdr:cNvPr>
        <xdr:cNvSpPr txBox="1"/>
      </xdr:nvSpPr>
      <xdr:spPr>
        <a:xfrm>
          <a:off x="548803" y="902096"/>
          <a:ext cx="5276209" cy="10486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À un moment donné, vous rencontrerez une formule qui comporte une erreur, qu’Excel affichera avec </a:t>
          </a:r>
          <a:r>
            <a:rPr kumimoji="0" lang="en-US" sz="1100" b="1"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#NomErreur</a:t>
          </a:r>
          <a: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t>. Les erreurs peuvent être utiles, car elles indiquent quand quelque chose ne fonctionne pas correctement, mais elles peuvent être difficiles à corriger. Heureusement, il existe plusieurs options qui peuvent vous aider à retrouver la source de l’erreur et à la corriger.</a:t>
          </a:r>
        </a:p>
        <a:p>
          <a:pPr marL="0" marR="0" lvl="0" indent="0" defTabSz="914400" eaLnBrk="1" fontAlgn="auto" latinLnBrk="0" hangingPunct="1">
            <a:lnSpc>
              <a:spcPct val="100000"/>
            </a:lnSpc>
            <a:spcBef>
              <a:spcPts val="0"/>
            </a:spcBef>
            <a:spcAft>
              <a:spcPts val="0"/>
            </a:spcAft>
            <a:buClrTx/>
            <a:buSzTx/>
            <a:buFontTx/>
            <a:buNone/>
            <a:tabLst/>
            <a:defRPr/>
          </a:pPr>
          <a:br>
            <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rPr>
          </a:br>
          <a:endParaRPr kumimoji="0" lang="en-US" sz="1100" b="0" i="0" u="none" strike="noStrike" kern="0" cap="none" spc="0" normalizeH="0" baseline="0">
            <a:ln>
              <a:noFill/>
            </a:ln>
            <a:solidFill>
              <a:schemeClr val="bg2">
                <a:lumMod val="25000"/>
              </a:schemeClr>
            </a:solidFill>
            <a:effectLst/>
            <a:uLnTx/>
            <a:uFillTx/>
            <a:latin typeface="Segoe UI" panose="020B0502040204020203" pitchFamily="34" charset="0"/>
            <a:ea typeface="Segoe UI" pitchFamily="34" charset="0"/>
            <a:cs typeface="Segoe UI" panose="020B0502040204020203" pitchFamily="34" charset="0"/>
          </a:endParaRPr>
        </a:p>
      </xdr:txBody>
    </xdr:sp>
    <xdr:clientData/>
  </xdr:twoCellAnchor>
  <xdr:twoCellAnchor editAs="absolute">
    <xdr:from>
      <xdr:col>0</xdr:col>
      <xdr:colOff>571500</xdr:colOff>
      <xdr:row>7</xdr:row>
      <xdr:rowOff>19050</xdr:rowOff>
    </xdr:from>
    <xdr:to>
      <xdr:col>1</xdr:col>
      <xdr:colOff>4934351</xdr:colOff>
      <xdr:row>10</xdr:row>
      <xdr:rowOff>5657</xdr:rowOff>
    </xdr:to>
    <xdr:grpSp>
      <xdr:nvGrpSpPr>
        <xdr:cNvPr id="2" name="Group 1">
          <a:extLst>
            <a:ext uri="{FF2B5EF4-FFF2-40B4-BE49-F238E27FC236}">
              <a16:creationId xmlns:a16="http://schemas.microsoft.com/office/drawing/2014/main" id="{A8B5C958-0EB2-41E2-B876-52C03CDCE6CA}"/>
            </a:ext>
          </a:extLst>
        </xdr:cNvPr>
        <xdr:cNvGrpSpPr/>
      </xdr:nvGrpSpPr>
      <xdr:grpSpPr>
        <a:xfrm>
          <a:off x="571500" y="1893570"/>
          <a:ext cx="5254391" cy="565727"/>
          <a:chOff x="476250" y="1924050"/>
          <a:chExt cx="5220101" cy="596207"/>
        </a:xfrm>
      </xdr:grpSpPr>
      <xdr:sp macro="" textlink="">
        <xdr:nvSpPr>
          <xdr:cNvPr id="55" name="txt_Step" descr="Error checking - Go to Formulas &gt; Error checking. This will load a dialog that will tell you the general cause for your specific error. In cell D9, the #N/A error is caused because there is no value matching &quot;Apple&quot;. You can fix this by using a value that does exist, suppress the error with IFERROR, or ignore it and know it will go away when you do use a value that exists.">
            <a:extLst>
              <a:ext uri="{FF2B5EF4-FFF2-40B4-BE49-F238E27FC236}">
                <a16:creationId xmlns:a16="http://schemas.microsoft.com/office/drawing/2014/main" id="{4AE4624F-481E-4B9E-ABC2-5B221D8CD197}"/>
              </a:ext>
            </a:extLst>
          </xdr:cNvPr>
          <xdr:cNvSpPr txBox="1"/>
        </xdr:nvSpPr>
        <xdr:spPr>
          <a:xfrm>
            <a:off x="991382" y="1966008"/>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Vérification des erreurs - Allez dans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Formules &gt; Vérification des erreurs</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Cela chargera une boîte de dialogue qui vous indiquera la cause générale de votre erreur spécifique. Dans la cellule D9, l’erreur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#N/A</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est due au fait qu’il n’y a pas de valeur correspondant à « Pomme ». Vous pouvez résoudre ce problème en utilisant une valeur qui existe, en supprimant l’erreur avec SI.ERREUR ou en l’ignorant et en sachant qu’elle disparaîtra lorsque vous utiliserez une valeur existante.</a:t>
            </a:r>
          </a:p>
        </xdr:txBody>
      </xdr:sp>
      <xdr:sp macro="" textlink="">
        <xdr:nvSpPr>
          <xdr:cNvPr id="56" name="shp_Step" descr="1">
            <a:extLst>
              <a:ext uri="{FF2B5EF4-FFF2-40B4-BE49-F238E27FC236}">
                <a16:creationId xmlns:a16="http://schemas.microsoft.com/office/drawing/2014/main" id="{43E4B612-0808-41AF-A8A5-FADFD6E77931}"/>
              </a:ext>
            </a:extLst>
          </xdr:cNvPr>
          <xdr:cNvSpPr/>
        </xdr:nvSpPr>
        <xdr:spPr>
          <a:xfrm>
            <a:off x="571500" y="1924050"/>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1</a:t>
            </a:r>
          </a:p>
        </xdr:txBody>
      </xdr:sp>
    </xdr:grpSp>
    <xdr:clientData/>
  </xdr:twoCellAnchor>
  <xdr:twoCellAnchor editAs="absolute">
    <xdr:from>
      <xdr:col>0</xdr:col>
      <xdr:colOff>571500</xdr:colOff>
      <xdr:row>22</xdr:row>
      <xdr:rowOff>157163</xdr:rowOff>
    </xdr:from>
    <xdr:to>
      <xdr:col>1</xdr:col>
      <xdr:colOff>4934351</xdr:colOff>
      <xdr:row>25</xdr:row>
      <xdr:rowOff>181870</xdr:rowOff>
    </xdr:to>
    <xdr:grpSp>
      <xdr:nvGrpSpPr>
        <xdr:cNvPr id="3" name="Group 2">
          <a:extLst>
            <a:ext uri="{FF2B5EF4-FFF2-40B4-BE49-F238E27FC236}">
              <a16:creationId xmlns:a16="http://schemas.microsoft.com/office/drawing/2014/main" id="{76285975-E71E-42A6-9427-0A2776DA5CC0}"/>
            </a:ext>
          </a:extLst>
        </xdr:cNvPr>
        <xdr:cNvGrpSpPr/>
      </xdr:nvGrpSpPr>
      <xdr:grpSpPr>
        <a:xfrm>
          <a:off x="571500" y="4805363"/>
          <a:ext cx="5254391" cy="573347"/>
          <a:chOff x="476250" y="4957763"/>
          <a:chExt cx="5220101" cy="596207"/>
        </a:xfrm>
      </xdr:grpSpPr>
      <xdr:sp macro="" textlink="">
        <xdr:nvSpPr>
          <xdr:cNvPr id="59" name="txt_Step" descr="If you click Help on this Error, a help topic specific to the error message will open. If you click Show Calculation Steps, an evaluate formula dialog will load.">
            <a:extLst>
              <a:ext uri="{FF2B5EF4-FFF2-40B4-BE49-F238E27FC236}">
                <a16:creationId xmlns:a16="http://schemas.microsoft.com/office/drawing/2014/main" id="{FF0A2293-1E29-453D-8C23-E342D71BA90C}"/>
              </a:ext>
            </a:extLst>
          </xdr:cNvPr>
          <xdr:cNvSpPr txBox="1"/>
        </xdr:nvSpPr>
        <xdr:spPr>
          <a:xfrm>
            <a:off x="991382" y="4999721"/>
            <a:ext cx="4809744" cy="554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Si vous cliquez sur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Aide sur cette erreur</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une rubrique d’aide spécifique au message d’erreur s’ouvrira. Si vous cliquez sur Afficher les étapes de calcul, une boîte de dialogue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Évaluer la formule </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se charge.</a:t>
            </a:r>
          </a:p>
        </xdr:txBody>
      </xdr:sp>
      <xdr:sp macro="" textlink="">
        <xdr:nvSpPr>
          <xdr:cNvPr id="60" name="shp_Step" descr="2">
            <a:extLst>
              <a:ext uri="{FF2B5EF4-FFF2-40B4-BE49-F238E27FC236}">
                <a16:creationId xmlns:a16="http://schemas.microsoft.com/office/drawing/2014/main" id="{327670C7-0119-4540-9264-05979CE88199}"/>
              </a:ext>
            </a:extLst>
          </xdr:cNvPr>
          <xdr:cNvSpPr/>
        </xdr:nvSpPr>
        <xdr:spPr>
          <a:xfrm>
            <a:off x="571500" y="4957763"/>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2</a:t>
            </a:r>
          </a:p>
        </xdr:txBody>
      </xdr:sp>
    </xdr:grpSp>
    <xdr:clientData/>
  </xdr:twoCellAnchor>
  <xdr:twoCellAnchor editAs="absolute">
    <xdr:from>
      <xdr:col>0</xdr:col>
      <xdr:colOff>667376</xdr:colOff>
      <xdr:row>40</xdr:row>
      <xdr:rowOff>104778</xdr:rowOff>
    </xdr:from>
    <xdr:to>
      <xdr:col>1</xdr:col>
      <xdr:colOff>5039815</xdr:colOff>
      <xdr:row>45</xdr:row>
      <xdr:rowOff>99064</xdr:rowOff>
    </xdr:to>
    <xdr:grpSp>
      <xdr:nvGrpSpPr>
        <xdr:cNvPr id="4" name="Group 3">
          <a:extLst>
            <a:ext uri="{FF2B5EF4-FFF2-40B4-BE49-F238E27FC236}">
              <a16:creationId xmlns:a16="http://schemas.microsoft.com/office/drawing/2014/main" id="{85545FAE-3743-4F8E-97DB-E0C750FA7DE7}"/>
            </a:ext>
          </a:extLst>
        </xdr:cNvPr>
        <xdr:cNvGrpSpPr/>
      </xdr:nvGrpSpPr>
      <xdr:grpSpPr>
        <a:xfrm>
          <a:off x="667376" y="8075298"/>
          <a:ext cx="5263979" cy="908686"/>
          <a:chOff x="571500" y="8372475"/>
          <a:chExt cx="5229626" cy="944916"/>
        </a:xfrm>
      </xdr:grpSpPr>
      <xdr:sp macro="" textlink="">
        <xdr:nvSpPr>
          <xdr:cNvPr id="63" name="txt_Step" descr="Each time you click Evaluate, Excel will step through the formula one section at a time. It won't necessarily tell you why an error occurs, but it will point out where.">
            <a:extLst>
              <a:ext uri="{FF2B5EF4-FFF2-40B4-BE49-F238E27FC236}">
                <a16:creationId xmlns:a16="http://schemas.microsoft.com/office/drawing/2014/main" id="{0D6FDE98-287E-402E-9C3F-81CD5951F461}"/>
              </a:ext>
            </a:extLst>
          </xdr:cNvPr>
          <xdr:cNvSpPr txBox="1"/>
        </xdr:nvSpPr>
        <xdr:spPr>
          <a:xfrm>
            <a:off x="991382" y="8414433"/>
            <a:ext cx="4809744" cy="902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Chaque fois que vous cliquez sur Évaluer, Excel parcourt la formule une section à la fois. Il ne vous dira pas nécessairement pourquoi une erreur se produit, mais </a:t>
            </a:r>
            <a:r>
              <a:rPr kumimoji="0" lang="en-US" sz="1100" b="1"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il vous indiquera où</a:t>
            </a:r>
            <a:r>
              <a:rPr kumimoji="0" lang="en-US" sz="1100" b="0" i="0" u="none" strike="noStrike" kern="0" cap="none" spc="0" normalizeH="0" baseline="0">
                <a:ln>
                  <a:noFill/>
                </a:ln>
                <a:solidFill>
                  <a:schemeClr val="tx1">
                    <a:lumMod val="75000"/>
                    <a:lumOff val="25000"/>
                  </a:schemeClr>
                </a:solidFill>
                <a:effectLst/>
                <a:uLnTx/>
                <a:uFillTx/>
                <a:latin typeface="Segoe UI" panose="020B0502040204020203" pitchFamily="34" charset="0"/>
                <a:ea typeface="Segoe UI" pitchFamily="34" charset="0"/>
                <a:cs typeface="Segoe UI" panose="020B0502040204020203" pitchFamily="34" charset="0"/>
              </a:rPr>
              <a:t>. À partir de là, consultez la rubrique d’aide pour déduire ce qui n’a pas fonctionné avec votre formule.</a:t>
            </a:r>
          </a:p>
        </xdr:txBody>
      </xdr:sp>
      <xdr:sp macro="" textlink="">
        <xdr:nvSpPr>
          <xdr:cNvPr id="64" name="shp_Step" descr="3">
            <a:extLst>
              <a:ext uri="{FF2B5EF4-FFF2-40B4-BE49-F238E27FC236}">
                <a16:creationId xmlns:a16="http://schemas.microsoft.com/office/drawing/2014/main" id="{4C60E600-C8A7-466F-BFAA-56DFFA965DD9}"/>
              </a:ext>
            </a:extLst>
          </xdr:cNvPr>
          <xdr:cNvSpPr/>
        </xdr:nvSpPr>
        <xdr:spPr>
          <a:xfrm>
            <a:off x="571500" y="8372475"/>
            <a:ext cx="374621" cy="366863"/>
          </a:xfrm>
          <a:prstGeom prst="ellipse">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1600">
                <a:latin typeface="Segoe UI Semibold" panose="020B0702040204020203" pitchFamily="34" charset="0"/>
                <a:cs typeface="Segoe UI Semibold" panose="020B0702040204020203" pitchFamily="34" charset="0"/>
              </a:rPr>
              <a:t>3</a:t>
            </a:r>
          </a:p>
        </xdr:txBody>
      </xdr:sp>
    </xdr:grpSp>
    <xdr:clientData/>
  </xdr:twoCellAnchor>
  <xdr:twoCellAnchor editAs="absolute">
    <xdr:from>
      <xdr:col>0</xdr:col>
      <xdr:colOff>590550</xdr:colOff>
      <xdr:row>46</xdr:row>
      <xdr:rowOff>47625</xdr:rowOff>
    </xdr:from>
    <xdr:to>
      <xdr:col>1</xdr:col>
      <xdr:colOff>998947</xdr:colOff>
      <xdr:row>48</xdr:row>
      <xdr:rowOff>2074</xdr:rowOff>
    </xdr:to>
    <xdr:sp macro="" textlink="">
      <xdr:nvSpPr>
        <xdr:cNvPr id="65" name="PreviousButton" descr="Return to the previous sheet">
          <a:hlinkClick xmlns:r="http://schemas.openxmlformats.org/officeDocument/2006/relationships" r:id="rId1" tooltip="Click here to go back to the previous sheet"/>
          <a:extLst>
            <a:ext uri="{FF2B5EF4-FFF2-40B4-BE49-F238E27FC236}">
              <a16:creationId xmlns:a16="http://schemas.microsoft.com/office/drawing/2014/main" id="{59901CBF-662C-46B7-9798-9856B1E5ACCE}"/>
            </a:ext>
          </a:extLst>
        </xdr:cNvPr>
        <xdr:cNvSpPr/>
      </xdr:nvSpPr>
      <xdr:spPr>
        <a:xfrm flipH="1">
          <a:off x="590550"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Précédent</a:t>
          </a:r>
        </a:p>
      </xdr:txBody>
    </xdr:sp>
    <xdr:clientData fPrintsWithSheet="0"/>
  </xdr:twoCellAnchor>
  <xdr:twoCellAnchor editAs="absolute">
    <xdr:from>
      <xdr:col>1</xdr:col>
      <xdr:colOff>3669834</xdr:colOff>
      <xdr:row>46</xdr:row>
      <xdr:rowOff>47625</xdr:rowOff>
    </xdr:from>
    <xdr:to>
      <xdr:col>1</xdr:col>
      <xdr:colOff>4945006</xdr:colOff>
      <xdr:row>48</xdr:row>
      <xdr:rowOff>2074</xdr:rowOff>
    </xdr:to>
    <xdr:sp macro="" textlink="">
      <xdr:nvSpPr>
        <xdr:cNvPr id="66" name="NextButton" descr="Advance to the next sheet">
          <a:hlinkClick xmlns:r="http://schemas.openxmlformats.org/officeDocument/2006/relationships" r:id="rId2" tooltip="Click here to advance to the next sheet"/>
          <a:extLst>
            <a:ext uri="{FF2B5EF4-FFF2-40B4-BE49-F238E27FC236}">
              <a16:creationId xmlns:a16="http://schemas.microsoft.com/office/drawing/2014/main" id="{A1974C03-9104-44F6-9B95-FBB22D17937B}"/>
            </a:ext>
          </a:extLst>
        </xdr:cNvPr>
        <xdr:cNvSpPr/>
      </xdr:nvSpPr>
      <xdr:spPr>
        <a:xfrm>
          <a:off x="4536609" y="9458325"/>
          <a:ext cx="1275172" cy="335449"/>
        </a:xfrm>
        <a:prstGeom prst="rightArrowCallout">
          <a:avLst>
            <a:gd name="adj1" fmla="val 32829"/>
            <a:gd name="adj2" fmla="val 31524"/>
            <a:gd name="adj3" fmla="val 25000"/>
            <a:gd name="adj4" fmla="val 86357"/>
          </a:avLst>
        </a:prstGeom>
        <a:ln>
          <a:solidFill>
            <a:srgbClr val="0B744D"/>
          </a:solidFill>
          <a:miter lim="800000"/>
        </a:ln>
      </xdr:spPr>
      <xdr:style>
        <a:lnRef idx="2">
          <a:schemeClr val="accent6"/>
        </a:lnRef>
        <a:fillRef idx="1">
          <a:schemeClr val="lt1"/>
        </a:fillRef>
        <a:effectRef idx="0">
          <a:schemeClr val="accent6"/>
        </a:effectRef>
        <a:fontRef idx="minor">
          <a:schemeClr val="dk1"/>
        </a:fontRef>
      </xdr:style>
      <xdr:txBody>
        <a:bodyPr wrap="square" rtlCol="0" anchor="ctr"/>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algn="ctr"/>
          <a:r>
            <a:rPr lang="en-US" sz="1200">
              <a:solidFill>
                <a:srgbClr val="0B744D"/>
              </a:solidFill>
              <a:latin typeface="Segoe UI" pitchFamily="34" charset="0"/>
              <a:ea typeface="Segoe UI" pitchFamily="34" charset="0"/>
              <a:cs typeface="Segoe UI" pitchFamily="34" charset="0"/>
            </a:rPr>
            <a:t>Suivant</a:t>
          </a:r>
        </a:p>
      </xdr:txBody>
    </xdr:sp>
    <xdr:clientData fPrintsWithSheet="0"/>
  </xdr:twoCellAnchor>
  <xdr:twoCellAnchor editAs="absolute">
    <xdr:from>
      <xdr:col>2</xdr:col>
      <xdr:colOff>876300</xdr:colOff>
      <xdr:row>36</xdr:row>
      <xdr:rowOff>38100</xdr:rowOff>
    </xdr:from>
    <xdr:to>
      <xdr:col>7</xdr:col>
      <xdr:colOff>216957</xdr:colOff>
      <xdr:row>42</xdr:row>
      <xdr:rowOff>46766</xdr:rowOff>
    </xdr:to>
    <xdr:grpSp>
      <xdr:nvGrpSpPr>
        <xdr:cNvPr id="67" name="EXPERIMENT" descr="EXPERIMENT">
          <a:extLst>
            <a:ext uri="{FF2B5EF4-FFF2-40B4-BE49-F238E27FC236}">
              <a16:creationId xmlns:a16="http://schemas.microsoft.com/office/drawing/2014/main" id="{7AB7F1CB-875F-43B5-84D0-9EF392715E5F}"/>
            </a:ext>
          </a:extLst>
        </xdr:cNvPr>
        <xdr:cNvGrpSpPr/>
      </xdr:nvGrpSpPr>
      <xdr:grpSpPr>
        <a:xfrm>
          <a:off x="7452360" y="7269480"/>
          <a:ext cx="2998257" cy="1113566"/>
          <a:chOff x="6375400" y="12710331"/>
          <a:chExt cx="3768724" cy="1161191"/>
        </a:xfrm>
      </xdr:grpSpPr>
      <xdr:sp macro="" textlink="">
        <xdr:nvSpPr>
          <xdr:cNvPr id="68" name="Step" descr="EXPERIMENT&#10;What's wrong here? Hint: We're trying to SUM up all the items.&#10;&#10;">
            <a:extLst>
              <a:ext uri="{FF2B5EF4-FFF2-40B4-BE49-F238E27FC236}">
                <a16:creationId xmlns:a16="http://schemas.microsoft.com/office/drawing/2014/main" id="{D3EB3534-E4A7-4C41-96B9-1127C7641AFF}"/>
              </a:ext>
            </a:extLst>
          </xdr:cNvPr>
          <xdr:cNvSpPr txBox="1"/>
        </xdr:nvSpPr>
        <xdr:spPr>
          <a:xfrm>
            <a:off x="6607610" y="12923420"/>
            <a:ext cx="3536514" cy="948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ESSAYEZ</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lvl="0">
              <a:defRPr/>
            </a:pPr>
            <a:r>
              <a:rPr lang="en-US" sz="1100" kern="0">
                <a:solidFill>
                  <a:schemeClr val="bg2">
                    <a:lumMod val="25000"/>
                  </a:schemeClr>
                </a:solidFill>
                <a:latin typeface="+mn-lt"/>
                <a:ea typeface="Segoe UI" pitchFamily="34" charset="0"/>
                <a:cs typeface="Segoe UI Light" panose="020B0502040204020203" pitchFamily="34" charset="0"/>
              </a:rPr>
              <a:t>Qu’est-ce qui ne va pas ici ? Astuce : Nous essayons </a:t>
            </a:r>
            <a:r>
              <a:rPr lang="en-US" sz="1100" b="1" kern="0">
                <a:solidFill>
                  <a:schemeClr val="bg2">
                    <a:lumMod val="25000"/>
                  </a:schemeClr>
                </a:solidFill>
                <a:latin typeface="+mn-lt"/>
                <a:ea typeface="Segoe UI" pitchFamily="34" charset="0"/>
                <a:cs typeface="Segoe UI Light" panose="020B0502040204020203" pitchFamily="34" charset="0"/>
              </a:rPr>
              <a:t>d'additionner</a:t>
            </a:r>
            <a:r>
              <a:rPr lang="en-US" sz="1100" kern="0" baseline="0">
                <a:solidFill>
                  <a:schemeClr val="bg2">
                    <a:lumMod val="25000"/>
                  </a:schemeClr>
                </a:solidFill>
                <a:latin typeface="+mn-lt"/>
                <a:ea typeface="Segoe UI" pitchFamily="34" charset="0"/>
                <a:cs typeface="Segoe UI Light" panose="020B0502040204020203" pitchFamily="34" charset="0"/>
              </a:rPr>
              <a:t> </a:t>
            </a:r>
            <a:r>
              <a:rPr lang="en-US" sz="1100" kern="0">
                <a:solidFill>
                  <a:schemeClr val="bg2">
                    <a:lumMod val="25000"/>
                  </a:schemeClr>
                </a:solidFill>
                <a:latin typeface="+mn-lt"/>
                <a:ea typeface="Segoe UI" pitchFamily="34" charset="0"/>
                <a:cs typeface="Segoe UI Light" panose="020B0502040204020203" pitchFamily="34" charset="0"/>
              </a:rPr>
              <a:t>tous les éléments.</a:t>
            </a:r>
          </a:p>
        </xdr:txBody>
      </xdr:sp>
      <xdr:sp macro="" textlink="">
        <xdr:nvSpPr>
          <xdr:cNvPr id="69" name="Freeform: Shape 68" descr="Bracket line">
            <a:extLst>
              <a:ext uri="{FF2B5EF4-FFF2-40B4-BE49-F238E27FC236}">
                <a16:creationId xmlns:a16="http://schemas.microsoft.com/office/drawing/2014/main" id="{3423E3AF-F954-4862-94A1-D37E0D95C91F}"/>
              </a:ext>
            </a:extLst>
          </xdr:cNvPr>
          <xdr:cNvSpPr/>
        </xdr:nvSpPr>
        <xdr:spPr>
          <a:xfrm rot="5400000">
            <a:off x="7204291" y="12535116"/>
            <a:ext cx="181608" cy="534983"/>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Lst>
            <a:ahLst/>
            <a:cxnLst>
              <a:cxn ang="0">
                <a:pos x="connsiteX0" y="connsiteY0"/>
              </a:cxn>
              <a:cxn ang="0">
                <a:pos x="connsiteX1" y="connsiteY1"/>
              </a:cxn>
              <a:cxn ang="0">
                <a:pos x="connsiteX2" y="connsiteY2"/>
              </a:cxn>
            </a:cxnLst>
            <a:rect l="l" t="t" r="r" b="b"/>
            <a:pathLst>
              <a:path w="167704" h="207258">
                <a:moveTo>
                  <a:pt x="0" y="193"/>
                </a:moveTo>
                <a:cubicBezTo>
                  <a:pt x="64880" y="-498"/>
                  <a:pt x="129760" y="-1188"/>
                  <a:pt x="157369" y="33323"/>
                </a:cubicBezTo>
                <a:cubicBezTo>
                  <a:pt x="184978" y="67834"/>
                  <a:pt x="146326" y="179649"/>
                  <a:pt x="165652" y="207258"/>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0" name="Freeform: Shape 69" descr="Bracket line">
            <a:extLst>
              <a:ext uri="{FF2B5EF4-FFF2-40B4-BE49-F238E27FC236}">
                <a16:creationId xmlns:a16="http://schemas.microsoft.com/office/drawing/2014/main" id="{E531DB5C-8852-4427-93EE-D879198D5D23}"/>
              </a:ext>
            </a:extLst>
          </xdr:cNvPr>
          <xdr:cNvSpPr/>
        </xdr:nvSpPr>
        <xdr:spPr>
          <a:xfrm rot="16200000" flipH="1">
            <a:off x="6553722" y="12534549"/>
            <a:ext cx="183793" cy="535358"/>
          </a:xfrm>
          <a:custGeom>
            <a:avLst/>
            <a:gdLst>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4" fmla="*/ 273326 w 273326"/>
              <a:gd name="connsiteY4" fmla="*/ 198976 h 217696"/>
              <a:gd name="connsiteX0" fmla="*/ 0 w 273326"/>
              <a:gd name="connsiteY0" fmla="*/ 193 h 217696"/>
              <a:gd name="connsiteX1" fmla="*/ 157369 w 273326"/>
              <a:gd name="connsiteY1" fmla="*/ 33323 h 217696"/>
              <a:gd name="connsiteX2" fmla="*/ 165652 w 273326"/>
              <a:gd name="connsiteY2" fmla="*/ 207258 h 217696"/>
              <a:gd name="connsiteX3" fmla="*/ 273326 w 273326"/>
              <a:gd name="connsiteY3" fmla="*/ 198976 h 217696"/>
              <a:gd name="connsiteX0" fmla="*/ 0 w 167704"/>
              <a:gd name="connsiteY0" fmla="*/ 193 h 207258"/>
              <a:gd name="connsiteX1" fmla="*/ 157369 w 167704"/>
              <a:gd name="connsiteY1" fmla="*/ 33323 h 207258"/>
              <a:gd name="connsiteX2" fmla="*/ 165652 w 167704"/>
              <a:gd name="connsiteY2" fmla="*/ 207258 h 207258"/>
              <a:gd name="connsiteX0" fmla="*/ 0 w 169722"/>
              <a:gd name="connsiteY0" fmla="*/ 334 h 219894"/>
              <a:gd name="connsiteX1" fmla="*/ 157369 w 169722"/>
              <a:gd name="connsiteY1" fmla="*/ 33464 h 219894"/>
              <a:gd name="connsiteX2" fmla="*/ 169722 w 169722"/>
              <a:gd name="connsiteY2" fmla="*/ 219894 h 219894"/>
            </a:gdLst>
            <a:ahLst/>
            <a:cxnLst>
              <a:cxn ang="0">
                <a:pos x="connsiteX0" y="connsiteY0"/>
              </a:cxn>
              <a:cxn ang="0">
                <a:pos x="connsiteX1" y="connsiteY1"/>
              </a:cxn>
              <a:cxn ang="0">
                <a:pos x="connsiteX2" y="connsiteY2"/>
              </a:cxn>
            </a:cxnLst>
            <a:rect l="l" t="t" r="r" b="b"/>
            <a:pathLst>
              <a:path w="169722" h="219894">
                <a:moveTo>
                  <a:pt x="0" y="334"/>
                </a:moveTo>
                <a:cubicBezTo>
                  <a:pt x="64880" y="-357"/>
                  <a:pt x="129082" y="-3129"/>
                  <a:pt x="157369" y="33464"/>
                </a:cubicBezTo>
                <a:cubicBezTo>
                  <a:pt x="185656" y="70057"/>
                  <a:pt x="150396" y="192285"/>
                  <a:pt x="169722" y="219894"/>
                </a:cubicBezTo>
              </a:path>
            </a:pathLst>
          </a:cu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1" name="Arc 70">
            <a:extLst>
              <a:ext uri="{FF2B5EF4-FFF2-40B4-BE49-F238E27FC236}">
                <a16:creationId xmlns:a16="http://schemas.microsoft.com/office/drawing/2014/main" id="{8D097E0F-9121-42A6-893F-237084C044F6}"/>
              </a:ext>
            </a:extLst>
          </xdr:cNvPr>
          <xdr:cNvSpPr/>
        </xdr:nvSpPr>
        <xdr:spPr>
          <a:xfrm>
            <a:off x="6802792" y="12888984"/>
            <a:ext cx="175277" cy="207177"/>
          </a:xfrm>
          <a:prstGeom prst="arc">
            <a:avLst>
              <a:gd name="adj1" fmla="val 15985420"/>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sp macro="" textlink="">
        <xdr:nvSpPr>
          <xdr:cNvPr id="72" name="Arc 71">
            <a:extLst>
              <a:ext uri="{FF2B5EF4-FFF2-40B4-BE49-F238E27FC236}">
                <a16:creationId xmlns:a16="http://schemas.microsoft.com/office/drawing/2014/main" id="{27B18E5F-8500-435E-BC64-93732151EEA9}"/>
              </a:ext>
            </a:extLst>
          </xdr:cNvPr>
          <xdr:cNvSpPr/>
        </xdr:nvSpPr>
        <xdr:spPr>
          <a:xfrm flipH="1">
            <a:off x="6978069" y="12880168"/>
            <a:ext cx="175277" cy="220401"/>
          </a:xfrm>
          <a:prstGeom prst="arc">
            <a:avLst>
              <a:gd name="adj1" fmla="val 17341536"/>
              <a:gd name="adj2" fmla="val 0"/>
            </a:avLst>
          </a:prstGeom>
          <a:noFill/>
          <a:ln w="19050">
            <a:solidFill>
              <a:schemeClr val="accent2">
                <a:lumMod val="60000"/>
                <a:lumOff val="40000"/>
              </a:schemeClr>
            </a:solidFill>
            <a:tailEnd type="none"/>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73" name="Graphic 96" descr="Flask">
            <a:extLst>
              <a:ext uri="{FF2B5EF4-FFF2-40B4-BE49-F238E27FC236}">
                <a16:creationId xmlns:a16="http://schemas.microsoft.com/office/drawing/2014/main" id="{BA618FB1-B2A8-4EDF-ACB2-62D2F62D015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375400" y="13028195"/>
            <a:ext cx="384748" cy="368300"/>
          </a:xfrm>
          <a:prstGeom prst="rect">
            <a:avLst/>
          </a:prstGeom>
        </xdr:spPr>
      </xdr:pic>
    </xdr:grpSp>
    <xdr:clientData/>
  </xdr:twoCellAnchor>
  <xdr:twoCellAnchor editAs="absolute">
    <xdr:from>
      <xdr:col>2</xdr:col>
      <xdr:colOff>47625</xdr:colOff>
      <xdr:row>22</xdr:row>
      <xdr:rowOff>109257</xdr:rowOff>
    </xdr:from>
    <xdr:to>
      <xdr:col>5</xdr:col>
      <xdr:colOff>171450</xdr:colOff>
      <xdr:row>27</xdr:row>
      <xdr:rowOff>4</xdr:rowOff>
    </xdr:to>
    <xdr:grpSp>
      <xdr:nvGrpSpPr>
        <xdr:cNvPr id="74" name="GOOD TO KNOW" descr="GOOD TO KNOW&#10;&#10;">
          <a:extLst>
            <a:ext uri="{FF2B5EF4-FFF2-40B4-BE49-F238E27FC236}">
              <a16:creationId xmlns:a16="http://schemas.microsoft.com/office/drawing/2014/main" id="{31BEE91F-7C0C-4732-BB35-0C8B019C6B03}"/>
            </a:ext>
          </a:extLst>
        </xdr:cNvPr>
        <xdr:cNvGrpSpPr/>
      </xdr:nvGrpSpPr>
      <xdr:grpSpPr>
        <a:xfrm>
          <a:off x="6623685" y="4757457"/>
          <a:ext cx="2562225" cy="805147"/>
          <a:chOff x="6778625" y="15665450"/>
          <a:chExt cx="2584778" cy="809949"/>
        </a:xfrm>
      </xdr:grpSpPr>
      <xdr:sp macro="" textlink="">
        <xdr:nvSpPr>
          <xdr:cNvPr id="75" name="Step" descr="GOOD TO KNOW&#10;Clicking Options will let you set the rules for when errors in Excel are displayed or ignored.&#10;&#10;">
            <a:extLst>
              <a:ext uri="{FF2B5EF4-FFF2-40B4-BE49-F238E27FC236}">
                <a16:creationId xmlns:a16="http://schemas.microsoft.com/office/drawing/2014/main" id="{2290844F-0916-4E97-96DF-1467983B55BF}"/>
              </a:ext>
            </a:extLst>
          </xdr:cNvPr>
          <xdr:cNvSpPr txBox="1"/>
        </xdr:nvSpPr>
        <xdr:spPr>
          <a:xfrm>
            <a:off x="7042958" y="15665450"/>
            <a:ext cx="2320445" cy="8099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200" b="1" kern="0">
                <a:solidFill>
                  <a:srgbClr val="ED7D31">
                    <a:lumMod val="60000"/>
                    <a:lumOff val="40000"/>
                  </a:srgbClr>
                </a:solidFill>
                <a:latin typeface="+mj-lt"/>
                <a:ea typeface="Segoe UI" pitchFamily="34" charset="0"/>
                <a:cs typeface="Segoe UI Light" panose="020B0502040204020203" pitchFamily="34" charset="0"/>
              </a:rPr>
              <a:t>BON A SAVOIR</a:t>
            </a:r>
            <a:endParaRPr lang="en-US" sz="1200" b="1">
              <a:solidFill>
                <a:srgbClr val="ED7D31">
                  <a:lumMod val="60000"/>
                  <a:lumOff val="40000"/>
                </a:srgbClr>
              </a:solidFill>
              <a:latin typeface="+mj-lt"/>
              <a:ea typeface="Segoe UI" pitchFamily="34" charset="0"/>
              <a:cs typeface="Segoe UI Light" panose="020B0502040204020203" pitchFamily="34" charset="0"/>
            </a:endParaRPr>
          </a:p>
          <a:p>
            <a:pPr eaLnBrk="1" fontAlgn="auto" latinLnBrk="0" hangingPunct="1"/>
            <a:r>
              <a:rPr lang="en-US" sz="1100" b="0" i="0" kern="1200" baseline="0">
                <a:solidFill>
                  <a:schemeClr val="dk1"/>
                </a:solidFill>
                <a:effectLst/>
                <a:latin typeface="+mn-lt"/>
                <a:ea typeface="+mn-ea"/>
                <a:cs typeface="+mn-cs"/>
              </a:rPr>
              <a:t>En cliquant sur </a:t>
            </a:r>
            <a:r>
              <a:rPr lang="en-US" sz="1100" b="1" i="0" kern="1200" baseline="0">
                <a:solidFill>
                  <a:schemeClr val="dk1"/>
                </a:solidFill>
                <a:effectLst/>
                <a:latin typeface="+mn-lt"/>
                <a:ea typeface="+mn-ea"/>
                <a:cs typeface="+mn-cs"/>
              </a:rPr>
              <a:t>Options</a:t>
            </a:r>
            <a:r>
              <a:rPr lang="en-US" sz="1100" b="0" i="0" kern="1200" baseline="0">
                <a:solidFill>
                  <a:schemeClr val="dk1"/>
                </a:solidFill>
                <a:effectLst/>
                <a:latin typeface="+mn-lt"/>
                <a:ea typeface="+mn-ea"/>
                <a:cs typeface="+mn-cs"/>
              </a:rPr>
              <a:t>, vous pourrez définir les règles d’affichage ou d’ignorance des erreurs dans Excel.</a:t>
            </a:r>
            <a:endParaRPr lang="en-US" sz="1100">
              <a:effectLst/>
              <a:latin typeface="+mn-lt"/>
            </a:endParaRPr>
          </a:p>
        </xdr:txBody>
      </xdr:sp>
      <xdr:pic>
        <xdr:nvPicPr>
          <xdr:cNvPr id="76" name="Graphic 147" descr="Glasses">
            <a:extLst>
              <a:ext uri="{FF2B5EF4-FFF2-40B4-BE49-F238E27FC236}">
                <a16:creationId xmlns:a16="http://schemas.microsoft.com/office/drawing/2014/main" id="{73EF64E6-2113-4A2B-A3C1-B2D878C3962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778625" y="15665450"/>
            <a:ext cx="323347" cy="349115"/>
          </a:xfrm>
          <a:prstGeom prst="rect">
            <a:avLst/>
          </a:prstGeom>
        </xdr:spPr>
      </xdr:pic>
    </xdr:grpSp>
    <xdr:clientData/>
  </xdr:twoCellAnchor>
  <xdr:twoCellAnchor>
    <xdr:from>
      <xdr:col>0</xdr:col>
      <xdr:colOff>342900</xdr:colOff>
      <xdr:row>49</xdr:row>
      <xdr:rowOff>47625</xdr:rowOff>
    </xdr:from>
    <xdr:to>
      <xdr:col>1</xdr:col>
      <xdr:colOff>5209413</xdr:colOff>
      <xdr:row>61</xdr:row>
      <xdr:rowOff>152400</xdr:rowOff>
    </xdr:to>
    <xdr:grpSp>
      <xdr:nvGrpSpPr>
        <xdr:cNvPr id="78" name="Group 77">
          <a:extLst>
            <a:ext uri="{FF2B5EF4-FFF2-40B4-BE49-F238E27FC236}">
              <a16:creationId xmlns:a16="http://schemas.microsoft.com/office/drawing/2014/main" id="{340F396F-7EEE-4FE2-8349-58C6AAB22606}"/>
            </a:ext>
          </a:extLst>
        </xdr:cNvPr>
        <xdr:cNvGrpSpPr/>
      </xdr:nvGrpSpPr>
      <xdr:grpSpPr>
        <a:xfrm>
          <a:off x="342900" y="9664065"/>
          <a:ext cx="5758053" cy="2299335"/>
          <a:chOff x="352425" y="10715625"/>
          <a:chExt cx="5733288" cy="2390775"/>
        </a:xfrm>
      </xdr:grpSpPr>
      <xdr:sp macro="" textlink="">
        <xdr:nvSpPr>
          <xdr:cNvPr id="79" name="Rectangle 78">
            <a:extLst>
              <a:ext uri="{FF2B5EF4-FFF2-40B4-BE49-F238E27FC236}">
                <a16:creationId xmlns:a16="http://schemas.microsoft.com/office/drawing/2014/main" id="{14D789FA-74C9-492D-A225-7D3C79A2D087}"/>
              </a:ext>
            </a:extLst>
          </xdr:cNvPr>
          <xdr:cNvSpPr/>
        </xdr:nvSpPr>
        <xdr:spPr>
          <a:xfrm>
            <a:off x="352425" y="10715625"/>
            <a:ext cx="5733288" cy="2390775"/>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l"/>
            <a:endParaRPr lang="en-US" sz="1100"/>
          </a:p>
        </xdr:txBody>
      </xdr:sp>
      <xdr:sp macro="" textlink="">
        <xdr:nvSpPr>
          <xdr:cNvPr id="80" name="Step" descr="More information on the web&#10;">
            <a:extLst>
              <a:ext uri="{FF2B5EF4-FFF2-40B4-BE49-F238E27FC236}">
                <a16:creationId xmlns:a16="http://schemas.microsoft.com/office/drawing/2014/main" id="{61F2D59C-F26B-49DE-B327-CF19805E2271}"/>
              </a:ext>
            </a:extLst>
          </xdr:cNvPr>
          <xdr:cNvSpPr txBox="1"/>
        </xdr:nvSpPr>
        <xdr:spPr>
          <a:xfrm>
            <a:off x="582507" y="10814879"/>
            <a:ext cx="5220000" cy="39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lIns="0" rIns="0"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2200" b="0" i="0" u="none" strike="noStrike" kern="0" cap="none" spc="0" normalizeH="0" baseline="0">
                <a:ln>
                  <a:noFill/>
                </a:ln>
                <a:solidFill>
                  <a:schemeClr val="bg2">
                    <a:lumMod val="25000"/>
                  </a:schemeClr>
                </a:solidFill>
                <a:effectLst/>
                <a:uLnTx/>
                <a:uFillTx/>
                <a:latin typeface="Segoe UI Light" panose="020B0502040204020203" pitchFamily="34" charset="0"/>
                <a:ea typeface="Segoe UI" pitchFamily="34" charset="0"/>
                <a:cs typeface="Segoe UI Light" panose="020B0502040204020203" pitchFamily="34" charset="0"/>
              </a:rPr>
              <a:t>More information on the web</a:t>
            </a:r>
            <a:endParaRPr lang="en-US" sz="2200" b="0">
              <a:solidFill>
                <a:schemeClr val="bg2">
                  <a:lumMod val="25000"/>
                </a:schemeClr>
              </a:solidFill>
              <a:effectLst/>
              <a:latin typeface="Segoe UI Light" panose="020B0502040204020203" pitchFamily="34" charset="0"/>
              <a:ea typeface="Segoe UI" pitchFamily="34" charset="0"/>
              <a:cs typeface="Segoe UI Light" panose="020B0502040204020203" pitchFamily="34" charset="0"/>
            </a:endParaRPr>
          </a:p>
        </xdr:txBody>
      </xdr:sp>
      <xdr:cxnSp macro="">
        <xdr:nvCxnSpPr>
          <xdr:cNvPr id="81" name="Straight Connector 80" descr="Decorative line">
            <a:extLst>
              <a:ext uri="{FF2B5EF4-FFF2-40B4-BE49-F238E27FC236}">
                <a16:creationId xmlns:a16="http://schemas.microsoft.com/office/drawing/2014/main" id="{D78368A3-B0DA-4D56-A2D9-D61314658FEC}"/>
              </a:ext>
            </a:extLst>
          </xdr:cNvPr>
          <xdr:cNvCxnSpPr>
            <a:cxnSpLocks/>
          </xdr:cNvCxnSpPr>
        </xdr:nvCxnSpPr>
        <xdr:spPr>
          <a:xfrm>
            <a:off x="585659" y="11223243"/>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cxnSp macro="">
        <xdr:nvCxnSpPr>
          <xdr:cNvPr id="82" name="Straight Connector 81" descr="Decorative line">
            <a:extLst>
              <a:ext uri="{FF2B5EF4-FFF2-40B4-BE49-F238E27FC236}">
                <a16:creationId xmlns:a16="http://schemas.microsoft.com/office/drawing/2014/main" id="{9F9DC1E5-92D2-4E32-BCB9-CCE0FAC9C8B2}"/>
              </a:ext>
            </a:extLst>
          </xdr:cNvPr>
          <xdr:cNvCxnSpPr>
            <a:cxnSpLocks/>
          </xdr:cNvCxnSpPr>
        </xdr:nvCxnSpPr>
        <xdr:spPr>
          <a:xfrm>
            <a:off x="585659" y="12912957"/>
            <a:ext cx="5216849" cy="0"/>
          </a:xfrm>
          <a:prstGeom prst="line">
            <a:avLst/>
          </a:prstGeom>
          <a:ln w="25400">
            <a:solidFill>
              <a:srgbClr val="217346"/>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0</xdr:col>
      <xdr:colOff>552881</xdr:colOff>
      <xdr:row>52</xdr:row>
      <xdr:rowOff>16594</xdr:rowOff>
    </xdr:from>
    <xdr:to>
      <xdr:col>1</xdr:col>
      <xdr:colOff>2552700</xdr:colOff>
      <xdr:row>53</xdr:row>
      <xdr:rowOff>185173</xdr:rowOff>
    </xdr:to>
    <xdr:grpSp>
      <xdr:nvGrpSpPr>
        <xdr:cNvPr id="83" name="Group 82">
          <a:extLst>
            <a:ext uri="{FF2B5EF4-FFF2-40B4-BE49-F238E27FC236}">
              <a16:creationId xmlns:a16="http://schemas.microsoft.com/office/drawing/2014/main" id="{1612118D-530C-41CF-BA41-E6AC52C9311F}"/>
            </a:ext>
          </a:extLst>
        </xdr:cNvPr>
        <xdr:cNvGrpSpPr/>
      </xdr:nvGrpSpPr>
      <xdr:grpSpPr>
        <a:xfrm>
          <a:off x="552881" y="10181674"/>
          <a:ext cx="2891359" cy="351459"/>
          <a:chOff x="552881" y="10532194"/>
          <a:chExt cx="2866594" cy="359079"/>
        </a:xfrm>
      </xdr:grpSpPr>
      <xdr:sp macro="" textlink="">
        <xdr:nvSpPr>
          <xdr:cNvPr id="84" name="Step" descr="All about the IF function, Hyperlinked to web&#10;&#10;">
            <a:hlinkClick xmlns:r="http://schemas.openxmlformats.org/officeDocument/2006/relationships" r:id="rId7" tooltip="Select to learn all about detecting errors in formulas on the web"/>
            <a:extLst>
              <a:ext uri="{FF2B5EF4-FFF2-40B4-BE49-F238E27FC236}">
                <a16:creationId xmlns:a16="http://schemas.microsoft.com/office/drawing/2014/main" id="{90EE0485-37C4-4EB9-BF02-1B8540E8892B}"/>
              </a:ext>
            </a:extLst>
          </xdr:cNvPr>
          <xdr:cNvSpPr txBox="1"/>
        </xdr:nvSpPr>
        <xdr:spPr>
          <a:xfrm>
            <a:off x="1018066" y="10606554"/>
            <a:ext cx="2401409" cy="2539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Detect errors in formulas</a:t>
            </a:r>
          </a:p>
        </xdr:txBody>
      </xdr:sp>
      <xdr:pic>
        <xdr:nvPicPr>
          <xdr:cNvPr id="85" name="Graphic 22" descr="Arrow">
            <a:hlinkClick xmlns:r="http://schemas.openxmlformats.org/officeDocument/2006/relationships" r:id="rId7" tooltip="Select to learn more from the web"/>
            <a:extLst>
              <a:ext uri="{FF2B5EF4-FFF2-40B4-BE49-F238E27FC236}">
                <a16:creationId xmlns:a16="http://schemas.microsoft.com/office/drawing/2014/main" id="{73CC8AF3-9054-4B3A-BDE0-3668A54C3C45}"/>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52881" y="10532194"/>
            <a:ext cx="492262" cy="359079"/>
          </a:xfrm>
          <a:prstGeom prst="rect">
            <a:avLst/>
          </a:prstGeom>
        </xdr:spPr>
      </xdr:pic>
    </xdr:grpSp>
    <xdr:clientData/>
  </xdr:twoCellAnchor>
  <xdr:twoCellAnchor>
    <xdr:from>
      <xdr:col>0</xdr:col>
      <xdr:colOff>552881</xdr:colOff>
      <xdr:row>54</xdr:row>
      <xdr:rowOff>10660</xdr:rowOff>
    </xdr:from>
    <xdr:to>
      <xdr:col>1</xdr:col>
      <xdr:colOff>2581275</xdr:colOff>
      <xdr:row>55</xdr:row>
      <xdr:rowOff>184549</xdr:rowOff>
    </xdr:to>
    <xdr:grpSp>
      <xdr:nvGrpSpPr>
        <xdr:cNvPr id="86" name="Group 85">
          <a:extLst>
            <a:ext uri="{FF2B5EF4-FFF2-40B4-BE49-F238E27FC236}">
              <a16:creationId xmlns:a16="http://schemas.microsoft.com/office/drawing/2014/main" id="{ADC1751D-5736-45B9-8E54-EF18BF377AD1}"/>
            </a:ext>
          </a:extLst>
        </xdr:cNvPr>
        <xdr:cNvGrpSpPr/>
      </xdr:nvGrpSpPr>
      <xdr:grpSpPr>
        <a:xfrm>
          <a:off x="552881" y="10541500"/>
          <a:ext cx="2919934" cy="356769"/>
          <a:chOff x="552881" y="10907260"/>
          <a:chExt cx="2895169" cy="364389"/>
        </a:xfrm>
      </xdr:grpSpPr>
      <xdr:sp macro="" textlink="">
        <xdr:nvSpPr>
          <xdr:cNvPr id="87" name="Step" descr="All about the IFS function, hyperlinked to web&#10;">
            <a:hlinkClick xmlns:r="http://schemas.openxmlformats.org/officeDocument/2006/relationships" r:id="rId10" tooltip="Select to learn all about how to avoid broken formulas on the web"/>
            <a:extLst>
              <a:ext uri="{FF2B5EF4-FFF2-40B4-BE49-F238E27FC236}">
                <a16:creationId xmlns:a16="http://schemas.microsoft.com/office/drawing/2014/main" id="{2242BC63-23A2-4F17-AAED-7DD2C6329F89}"/>
              </a:ext>
            </a:extLst>
          </xdr:cNvPr>
          <xdr:cNvSpPr txBox="1"/>
        </xdr:nvSpPr>
        <xdr:spPr>
          <a:xfrm>
            <a:off x="1018066" y="10984436"/>
            <a:ext cx="2429984"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How to avoid broken formulas</a:t>
            </a:r>
          </a:p>
        </xdr:txBody>
      </xdr:sp>
      <xdr:pic>
        <xdr:nvPicPr>
          <xdr:cNvPr id="88" name="Graphic 22" descr="Arrow">
            <a:hlinkClick xmlns:r="http://schemas.openxmlformats.org/officeDocument/2006/relationships" r:id="rId10" tooltip="Select to learn more from the web"/>
            <a:extLst>
              <a:ext uri="{FF2B5EF4-FFF2-40B4-BE49-F238E27FC236}">
                <a16:creationId xmlns:a16="http://schemas.microsoft.com/office/drawing/2014/main" id="{2BABF2F2-73D3-4628-8EB1-C688F0989798}"/>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52881" y="10907260"/>
            <a:ext cx="492262" cy="364389"/>
          </a:xfrm>
          <a:prstGeom prst="rect">
            <a:avLst/>
          </a:prstGeom>
        </xdr:spPr>
      </xdr:pic>
    </xdr:grpSp>
    <xdr:clientData/>
  </xdr:twoCellAnchor>
  <xdr:twoCellAnchor>
    <xdr:from>
      <xdr:col>0</xdr:col>
      <xdr:colOff>552881</xdr:colOff>
      <xdr:row>58</xdr:row>
      <xdr:rowOff>41578</xdr:rowOff>
    </xdr:from>
    <xdr:to>
      <xdr:col>1</xdr:col>
      <xdr:colOff>2202742</xdr:colOff>
      <xdr:row>60</xdr:row>
      <xdr:rowOff>24967</xdr:rowOff>
    </xdr:to>
    <xdr:grpSp>
      <xdr:nvGrpSpPr>
        <xdr:cNvPr id="89" name="Group 88">
          <a:extLst>
            <a:ext uri="{FF2B5EF4-FFF2-40B4-BE49-F238E27FC236}">
              <a16:creationId xmlns:a16="http://schemas.microsoft.com/office/drawing/2014/main" id="{7988A760-4FB2-4E7F-B1F1-2324CEF3CF3E}"/>
            </a:ext>
          </a:extLst>
        </xdr:cNvPr>
        <xdr:cNvGrpSpPr/>
      </xdr:nvGrpSpPr>
      <xdr:grpSpPr>
        <a:xfrm>
          <a:off x="552881" y="11303938"/>
          <a:ext cx="2541401" cy="349149"/>
          <a:chOff x="552881" y="11700178"/>
          <a:chExt cx="2516636" cy="364389"/>
        </a:xfrm>
      </xdr:grpSpPr>
      <xdr:sp macro="" textlink="">
        <xdr:nvSpPr>
          <xdr:cNvPr id="90" name="Step" descr="Free Excel training online, hyperlinked to web&#10;">
            <a:hlinkClick xmlns:r="http://schemas.openxmlformats.org/officeDocument/2006/relationships" r:id="rId11" tooltip="Select to learn about free Excel training on the web"/>
            <a:extLst>
              <a:ext uri="{FF2B5EF4-FFF2-40B4-BE49-F238E27FC236}">
                <a16:creationId xmlns:a16="http://schemas.microsoft.com/office/drawing/2014/main" id="{83AC531D-CB18-4A4A-92F0-122C8840F418}"/>
              </a:ext>
            </a:extLst>
          </xdr:cNvPr>
          <xdr:cNvSpPr txBox="1"/>
        </xdr:nvSpPr>
        <xdr:spPr>
          <a:xfrm>
            <a:off x="1030674" y="11751282"/>
            <a:ext cx="2038843" cy="248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Free Excel training online</a:t>
            </a:r>
          </a:p>
        </xdr:txBody>
      </xdr:sp>
      <xdr:pic>
        <xdr:nvPicPr>
          <xdr:cNvPr id="91" name="Graphic 22" descr="Arrow">
            <a:hlinkClick xmlns:r="http://schemas.openxmlformats.org/officeDocument/2006/relationships" r:id="rId11" tooltip="Select to learn more from the web"/>
            <a:extLst>
              <a:ext uri="{FF2B5EF4-FFF2-40B4-BE49-F238E27FC236}">
                <a16:creationId xmlns:a16="http://schemas.microsoft.com/office/drawing/2014/main" id="{9A199C7F-CC5E-42CD-954B-E34576A06F4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52881" y="11700178"/>
            <a:ext cx="492262" cy="364389"/>
          </a:xfrm>
          <a:prstGeom prst="rect">
            <a:avLst/>
          </a:prstGeom>
        </xdr:spPr>
      </xdr:pic>
    </xdr:grpSp>
    <xdr:clientData/>
  </xdr:twoCellAnchor>
  <xdr:twoCellAnchor>
    <xdr:from>
      <xdr:col>0</xdr:col>
      <xdr:colOff>552881</xdr:colOff>
      <xdr:row>56</xdr:row>
      <xdr:rowOff>10036</xdr:rowOff>
    </xdr:from>
    <xdr:to>
      <xdr:col>1</xdr:col>
      <xdr:colOff>3486149</xdr:colOff>
      <xdr:row>57</xdr:row>
      <xdr:rowOff>183925</xdr:rowOff>
    </xdr:to>
    <xdr:grpSp>
      <xdr:nvGrpSpPr>
        <xdr:cNvPr id="92" name="Group 91">
          <a:extLst>
            <a:ext uri="{FF2B5EF4-FFF2-40B4-BE49-F238E27FC236}">
              <a16:creationId xmlns:a16="http://schemas.microsoft.com/office/drawing/2014/main" id="{1287D230-E85C-41F6-AC03-12C8065534DF}"/>
            </a:ext>
          </a:extLst>
        </xdr:cNvPr>
        <xdr:cNvGrpSpPr/>
      </xdr:nvGrpSpPr>
      <xdr:grpSpPr>
        <a:xfrm>
          <a:off x="552881" y="10906636"/>
          <a:ext cx="3824808" cy="356769"/>
          <a:chOff x="552881" y="11287636"/>
          <a:chExt cx="3800043" cy="364389"/>
        </a:xfrm>
      </xdr:grpSpPr>
      <xdr:sp macro="" textlink="">
        <xdr:nvSpPr>
          <xdr:cNvPr id="93" name="Step" descr="Advanced IF statements, hyperlinked to web&#10;">
            <a:hlinkClick xmlns:r="http://schemas.openxmlformats.org/officeDocument/2006/relationships" r:id="rId12" tooltip="Select to learn all about evaluating nested formulas one step at a time on the web"/>
            <a:extLst>
              <a:ext uri="{FF2B5EF4-FFF2-40B4-BE49-F238E27FC236}">
                <a16:creationId xmlns:a16="http://schemas.microsoft.com/office/drawing/2014/main" id="{517452E5-5203-44C3-8F73-C9234197799E}"/>
              </a:ext>
            </a:extLst>
          </xdr:cNvPr>
          <xdr:cNvSpPr txBox="1"/>
        </xdr:nvSpPr>
        <xdr:spPr>
          <a:xfrm>
            <a:off x="1018065" y="11355911"/>
            <a:ext cx="3334859" cy="2322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pPr lvl="0">
              <a:defRPr/>
            </a:pPr>
            <a:r>
              <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Evaluate</a:t>
            </a:r>
            <a:r>
              <a:rPr lang="en-US" sz="1100" u="sng" kern="0" baseline="0">
                <a:solidFill>
                  <a:schemeClr val="tx1">
                    <a:lumMod val="75000"/>
                    <a:lumOff val="25000"/>
                  </a:schemeClr>
                </a:solidFill>
                <a:latin typeface="Segoe UI" panose="020B0502040204020203" pitchFamily="34" charset="0"/>
                <a:ea typeface="Segoe UI" pitchFamily="34" charset="0"/>
                <a:cs typeface="Segoe UI" panose="020B0502040204020203" pitchFamily="34" charset="0"/>
              </a:rPr>
              <a:t> a nested formula one step at a time</a:t>
            </a:r>
            <a:endParaRPr lang="en-US" sz="1100" u="sng" kern="0">
              <a:solidFill>
                <a:schemeClr val="tx1">
                  <a:lumMod val="75000"/>
                  <a:lumOff val="25000"/>
                </a:schemeClr>
              </a:solidFill>
              <a:latin typeface="Segoe UI" panose="020B0502040204020203" pitchFamily="34" charset="0"/>
              <a:ea typeface="Segoe UI" pitchFamily="34" charset="0"/>
              <a:cs typeface="Segoe UI" panose="020B0502040204020203" pitchFamily="34" charset="0"/>
            </a:endParaRPr>
          </a:p>
        </xdr:txBody>
      </xdr:sp>
      <xdr:pic>
        <xdr:nvPicPr>
          <xdr:cNvPr id="94" name="Graphic 22" descr="Arrow">
            <a:hlinkClick xmlns:r="http://schemas.openxmlformats.org/officeDocument/2006/relationships" r:id="rId12" tooltip="Select to learn more from the web"/>
            <a:extLst>
              <a:ext uri="{FF2B5EF4-FFF2-40B4-BE49-F238E27FC236}">
                <a16:creationId xmlns:a16="http://schemas.microsoft.com/office/drawing/2014/main" id="{60645326-8D7A-4377-861C-8BE1CE6E4E5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52881" y="11287636"/>
            <a:ext cx="492262" cy="364389"/>
          </a:xfrm>
          <a:prstGeom prst="rect">
            <a:avLst/>
          </a:prstGeom>
        </xdr:spPr>
      </xdr:pic>
    </xdr:grpSp>
    <xdr:clientData/>
  </xdr:twoCellAnchor>
  <xdr:twoCellAnchor editAs="oneCell">
    <xdr:from>
      <xdr:col>0</xdr:col>
      <xdr:colOff>807720</xdr:colOff>
      <xdr:row>14</xdr:row>
      <xdr:rowOff>152401</xdr:rowOff>
    </xdr:from>
    <xdr:to>
      <xdr:col>1</xdr:col>
      <xdr:colOff>3756660</xdr:colOff>
      <xdr:row>22</xdr:row>
      <xdr:rowOff>78009</xdr:rowOff>
    </xdr:to>
    <xdr:pic>
      <xdr:nvPicPr>
        <xdr:cNvPr id="6" name="Image 5">
          <a:extLst>
            <a:ext uri="{FF2B5EF4-FFF2-40B4-BE49-F238E27FC236}">
              <a16:creationId xmlns:a16="http://schemas.microsoft.com/office/drawing/2014/main" id="{7C475A1C-7B9D-FD9A-7C92-7D04AF49AFD8}"/>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807720" y="3337561"/>
          <a:ext cx="3840480" cy="1388648"/>
        </a:xfrm>
        <a:prstGeom prst="rect">
          <a:avLst/>
        </a:prstGeom>
        <a:ln w="12700">
          <a:solidFill>
            <a:schemeClr val="accent6"/>
          </a:solidFill>
        </a:ln>
      </xdr:spPr>
    </xdr:pic>
    <xdr:clientData/>
  </xdr:twoCellAnchor>
  <xdr:twoCellAnchor>
    <xdr:from>
      <xdr:col>1</xdr:col>
      <xdr:colOff>933451</xdr:colOff>
      <xdr:row>21</xdr:row>
      <xdr:rowOff>114302</xdr:rowOff>
    </xdr:from>
    <xdr:to>
      <xdr:col>1</xdr:col>
      <xdr:colOff>5495926</xdr:colOff>
      <xdr:row>23</xdr:row>
      <xdr:rowOff>19050</xdr:rowOff>
    </xdr:to>
    <xdr:cxnSp macro="">
      <xdr:nvCxnSpPr>
        <xdr:cNvPr id="77" name="Connector: Curved 76">
          <a:extLst>
            <a:ext uri="{FF2B5EF4-FFF2-40B4-BE49-F238E27FC236}">
              <a16:creationId xmlns:a16="http://schemas.microsoft.com/office/drawing/2014/main" id="{16767E7F-5A94-4A53-A7E2-81A5EF1897C0}"/>
            </a:ext>
          </a:extLst>
        </xdr:cNvPr>
        <xdr:cNvCxnSpPr/>
      </xdr:nvCxnSpPr>
      <xdr:spPr>
        <a:xfrm rot="10800000">
          <a:off x="1800226" y="4762502"/>
          <a:ext cx="4562475" cy="285748"/>
        </a:xfrm>
        <a:prstGeom prst="curvedConnector3">
          <a:avLst>
            <a:gd name="adj1" fmla="val 55637"/>
          </a:avLst>
        </a:prstGeom>
        <a:noFill/>
        <a:ln w="19050">
          <a:solidFill>
            <a:schemeClr val="accent2">
              <a:lumMod val="60000"/>
              <a:lumOff val="40000"/>
            </a:schemeClr>
          </a:solidFill>
          <a:tailEnd type="triangle"/>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editAs="oneCell">
    <xdr:from>
      <xdr:col>0</xdr:col>
      <xdr:colOff>754380</xdr:colOff>
      <xdr:row>26</xdr:row>
      <xdr:rowOff>106680</xdr:rowOff>
    </xdr:from>
    <xdr:to>
      <xdr:col>1</xdr:col>
      <xdr:colOff>4945380</xdr:colOff>
      <xdr:row>38</xdr:row>
      <xdr:rowOff>141292</xdr:rowOff>
    </xdr:to>
    <xdr:pic>
      <xdr:nvPicPr>
        <xdr:cNvPr id="8" name="Image 7">
          <a:extLst>
            <a:ext uri="{FF2B5EF4-FFF2-40B4-BE49-F238E27FC236}">
              <a16:creationId xmlns:a16="http://schemas.microsoft.com/office/drawing/2014/main" id="{5E29E0CE-4547-6954-3301-53D57157C03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754380" y="5486400"/>
          <a:ext cx="5082540" cy="2259652"/>
        </a:xfrm>
        <a:prstGeom prst="rect">
          <a:avLst/>
        </a:prstGeom>
        <a:ln w="12700">
          <a:solidFill>
            <a:schemeClr val="accent6"/>
          </a:solidFill>
        </a:ln>
      </xdr:spPr>
    </xdr:pic>
    <xdr:clientData/>
  </xdr:twoCellAnchor>
</xdr:wsDr>
</file>

<file path=xl/drawings/drawing13.xml><?xml version="1.0" encoding="utf-8"?>
<xdr:wsDr xmlns:xdr="http://schemas.openxmlformats.org/drawingml/2006/spreadsheetDrawing" xmlns:a="http://schemas.openxmlformats.org/drawingml/2006/main">
  <xdr:oneCellAnchor>
    <xdr:from>
      <xdr:col>0</xdr:col>
      <xdr:colOff>333376</xdr:colOff>
      <xdr:row>0</xdr:row>
      <xdr:rowOff>352425</xdr:rowOff>
    </xdr:from>
    <xdr:ext cx="9309411" cy="4097099"/>
    <xdr:grpSp>
      <xdr:nvGrpSpPr>
        <xdr:cNvPr id="32" name="Group 31">
          <a:extLst>
            <a:ext uri="{FF2B5EF4-FFF2-40B4-BE49-F238E27FC236}">
              <a16:creationId xmlns:a16="http://schemas.microsoft.com/office/drawing/2014/main" id="{6725C923-6B3B-4CCA-98A0-990F1C1B87A8}"/>
            </a:ext>
          </a:extLst>
        </xdr:cNvPr>
        <xdr:cNvGrpSpPr/>
      </xdr:nvGrpSpPr>
      <xdr:grpSpPr>
        <a:xfrm>
          <a:off x="333376" y="352425"/>
          <a:ext cx="9309411" cy="4097099"/>
          <a:chOff x="171451" y="285750"/>
          <a:chExt cx="9309411" cy="4097099"/>
        </a:xfrm>
      </xdr:grpSpPr>
      <xdr:grpSp>
        <xdr:nvGrpSpPr>
          <xdr:cNvPr id="13" name="Group 12">
            <a:extLst>
              <a:ext uri="{FF2B5EF4-FFF2-40B4-BE49-F238E27FC236}">
                <a16:creationId xmlns:a16="http://schemas.microsoft.com/office/drawing/2014/main" id="{3FA7D425-D370-44B8-8FA4-045B5D6E310A}"/>
              </a:ext>
            </a:extLst>
          </xdr:cNvPr>
          <xdr:cNvGrpSpPr/>
        </xdr:nvGrpSpPr>
        <xdr:grpSpPr>
          <a:xfrm>
            <a:off x="171451" y="285750"/>
            <a:ext cx="9309411" cy="4097099"/>
            <a:chOff x="171451" y="285750"/>
            <a:chExt cx="9309411" cy="4097099"/>
          </a:xfrm>
        </xdr:grpSpPr>
        <xdr:sp macro="" textlink="">
          <xdr:nvSpPr>
            <xdr:cNvPr id="30" name="Rectangle 29" descr="Background">
              <a:extLst>
                <a:ext uri="{FF2B5EF4-FFF2-40B4-BE49-F238E27FC236}">
                  <a16:creationId xmlns:a16="http://schemas.microsoft.com/office/drawing/2014/main" id="{7626CA03-671C-4586-BB83-B5B27BDAF61D}"/>
                </a:ext>
              </a:extLst>
            </xdr:cNvPr>
            <xdr:cNvSpPr/>
          </xdr:nvSpPr>
          <xdr:spPr>
            <a:xfrm>
              <a:off x="171451" y="285750"/>
              <a:ext cx="9299853" cy="3731895"/>
            </a:xfrm>
            <a:prstGeom prst="rect">
              <a:avLst/>
            </a:prstGeom>
            <a:solidFill>
              <a:srgbClr val="21734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1" name="Rectangle 30" descr="Background">
              <a:extLst>
                <a:ext uri="{FF2B5EF4-FFF2-40B4-BE49-F238E27FC236}">
                  <a16:creationId xmlns:a16="http://schemas.microsoft.com/office/drawing/2014/main" id="{0EF2E102-5A65-4310-A323-6E9410B364FE}"/>
                </a:ext>
              </a:extLst>
            </xdr:cNvPr>
            <xdr:cNvSpPr/>
          </xdr:nvSpPr>
          <xdr:spPr>
            <a:xfrm>
              <a:off x="171451" y="1332861"/>
              <a:ext cx="9309411" cy="3049988"/>
            </a:xfrm>
            <a:prstGeom prst="rect">
              <a:avLst/>
            </a:prstGeom>
            <a:solidFill>
              <a:srgbClr val="F5F5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4" name="Welcome Message" descr="Keep going. There are lots more ways to simplify your work:">
            <a:extLst>
              <a:ext uri="{FF2B5EF4-FFF2-40B4-BE49-F238E27FC236}">
                <a16:creationId xmlns:a16="http://schemas.microsoft.com/office/drawing/2014/main" id="{914889AE-4E16-4A8A-A641-A17A3C6BFA28}"/>
              </a:ext>
            </a:extLst>
          </xdr:cNvPr>
          <xdr:cNvSpPr txBox="1"/>
        </xdr:nvSpPr>
        <xdr:spPr>
          <a:xfrm>
            <a:off x="780726" y="1922470"/>
            <a:ext cx="8251976" cy="4111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600" b="0" i="0" baseline="0">
                <a:solidFill>
                  <a:schemeClr val="tx1">
                    <a:lumMod val="75000"/>
                    <a:lumOff val="25000"/>
                  </a:schemeClr>
                </a:solidFill>
                <a:effectLst/>
                <a:latin typeface="Segoe UI Light" panose="020B0502040204020203" pitchFamily="34" charset="0"/>
                <a:ea typeface="Segoe UI" pitchFamily="34" charset="0"/>
                <a:cs typeface="Segoe UI Light" panose="020B0502040204020203" pitchFamily="34" charset="0"/>
              </a:rPr>
              <a:t>Keep going. There is more to learn with Excel:</a:t>
            </a:r>
            <a:endParaRPr lang="en-US" sz="1600" b="0">
              <a:solidFill>
                <a:schemeClr val="tx1">
                  <a:lumMod val="75000"/>
                  <a:lumOff val="25000"/>
                </a:schemeClr>
              </a:solidFill>
              <a:latin typeface="Segoe UI Light" panose="020B0502040204020203" pitchFamily="34" charset="0"/>
              <a:ea typeface="Segoe UI" pitchFamily="34" charset="0"/>
              <a:cs typeface="Segoe UI Light" panose="020B0502040204020203" pitchFamily="34" charset="0"/>
            </a:endParaRPr>
          </a:p>
        </xdr:txBody>
      </xdr:sp>
      <xdr:sp macro="" textlink="">
        <xdr:nvSpPr>
          <xdr:cNvPr id="15" name="Welcome Message" descr="More questions about Excel?">
            <a:extLst>
              <a:ext uri="{FF2B5EF4-FFF2-40B4-BE49-F238E27FC236}">
                <a16:creationId xmlns:a16="http://schemas.microsoft.com/office/drawing/2014/main" id="{618A7547-5753-470B-942C-5C7C63E0E0A5}"/>
              </a:ext>
            </a:extLst>
          </xdr:cNvPr>
          <xdr:cNvSpPr txBox="1"/>
        </xdr:nvSpPr>
        <xdr:spPr>
          <a:xfrm>
            <a:off x="752052" y="676037"/>
            <a:ext cx="7629650" cy="713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2600" b="0" i="0" baseline="0">
                <a:solidFill>
                  <a:schemeClr val="bg1"/>
                </a:solidFill>
                <a:effectLst/>
                <a:latin typeface="Segoe UI Light" pitchFamily="34" charset="0"/>
                <a:ea typeface="Segoe UI" pitchFamily="34" charset="0"/>
                <a:cs typeface="Segoe UI" pitchFamily="34" charset="0"/>
              </a:rPr>
              <a:t>Plus de questions à propos d'Excel ?</a:t>
            </a:r>
            <a:endParaRPr lang="en-US" sz="2600" b="0">
              <a:latin typeface="Segoe UI Light" pitchFamily="34" charset="0"/>
              <a:ea typeface="Segoe UI" pitchFamily="34" charset="0"/>
              <a:cs typeface="Segoe UI" pitchFamily="34" charset="0"/>
            </a:endParaRPr>
          </a:p>
        </xdr:txBody>
      </xdr:sp>
      <xdr:sp macro="" textlink="">
        <xdr:nvSpPr>
          <xdr:cNvPr id="22" name="TextBox 21" descr="Learn more">
            <a:hlinkClick xmlns:r="http://schemas.openxmlformats.org/officeDocument/2006/relationships" r:id="rId1" tooltip="Learn more from LinkedIn Learning on the web"/>
            <a:extLst>
              <a:ext uri="{FF2B5EF4-FFF2-40B4-BE49-F238E27FC236}">
                <a16:creationId xmlns:a16="http://schemas.microsoft.com/office/drawing/2014/main" id="{BFBF1103-7F5C-4C45-8A78-4D0182CE11B2}"/>
              </a:ext>
            </a:extLst>
          </xdr:cNvPr>
          <xdr:cNvSpPr txBox="1"/>
        </xdr:nvSpPr>
        <xdr:spPr>
          <a:xfrm>
            <a:off x="2038350"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3" name="TextBox 22" descr="Learn more">
            <a:hlinkClick xmlns:r="http://schemas.openxmlformats.org/officeDocument/2006/relationships" r:id="rId2" tooltip="Learn more about the Excel Community on the web"/>
            <a:extLst>
              <a:ext uri="{FF2B5EF4-FFF2-40B4-BE49-F238E27FC236}">
                <a16:creationId xmlns:a16="http://schemas.microsoft.com/office/drawing/2014/main" id="{0E4F3BD9-1086-4455-B51C-A8936225A3CC}"/>
              </a:ext>
            </a:extLst>
          </xdr:cNvPr>
          <xdr:cNvSpPr txBox="1"/>
        </xdr:nvSpPr>
        <xdr:spPr>
          <a:xfrm>
            <a:off x="4891548" y="3377850"/>
            <a:ext cx="1222244"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4" name="TextBox 23" descr="Learn more">
            <a:hlinkClick xmlns:r="http://schemas.openxmlformats.org/officeDocument/2006/relationships" r:id="rId3" tooltip="Learn more about what's new in Excel on the web"/>
            <a:extLst>
              <a:ext uri="{FF2B5EF4-FFF2-40B4-BE49-F238E27FC236}">
                <a16:creationId xmlns:a16="http://schemas.microsoft.com/office/drawing/2014/main" id="{C99A8BC1-9314-4FC6-B158-3CC6B224F07E}"/>
              </a:ext>
            </a:extLst>
          </xdr:cNvPr>
          <xdr:cNvSpPr txBox="1"/>
        </xdr:nvSpPr>
        <xdr:spPr>
          <a:xfrm>
            <a:off x="7805492" y="3377850"/>
            <a:ext cx="1221386" cy="441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200" u="sng" baseline="0">
                <a:solidFill>
                  <a:srgbClr val="217346"/>
                </a:solidFill>
                <a:effectLst/>
                <a:latin typeface="Segoe UI Semibold" panose="020B0702040204020203" pitchFamily="34" charset="0"/>
                <a:ea typeface="+mn-ea"/>
                <a:cs typeface="Segoe UI Semibold" panose="020B0702040204020203" pitchFamily="34" charset="0"/>
              </a:rPr>
              <a:t>Learn more</a:t>
            </a:r>
            <a:endParaRPr lang="en-US" sz="1200" u="sng">
              <a:solidFill>
                <a:schemeClr val="tx1">
                  <a:lumMod val="75000"/>
                  <a:lumOff val="25000"/>
                </a:schemeClr>
              </a:solidFill>
              <a:latin typeface="Segoe UI Semibold" panose="020B0702040204020203" pitchFamily="34" charset="0"/>
              <a:cs typeface="Segoe UI Semibold" panose="020B0702040204020203" pitchFamily="34" charset="0"/>
            </a:endParaRPr>
          </a:p>
        </xdr:txBody>
      </xdr:sp>
      <xdr:sp macro="" textlink="">
        <xdr:nvSpPr>
          <xdr:cNvPr id="25" name="TextBox 24" descr="Community&#10;Ask questions and connect with other Excel fans">
            <a:hlinkClick xmlns:r="http://schemas.openxmlformats.org/officeDocument/2006/relationships" r:id="rId2" tooltip="Learn more about the Excel community on the web"/>
            <a:extLst>
              <a:ext uri="{FF2B5EF4-FFF2-40B4-BE49-F238E27FC236}">
                <a16:creationId xmlns:a16="http://schemas.microsoft.com/office/drawing/2014/main" id="{1293751F-7023-4F3D-A3F2-7A62FD5D2D64}"/>
              </a:ext>
            </a:extLst>
          </xdr:cNvPr>
          <xdr:cNvSpPr txBox="1"/>
        </xdr:nvSpPr>
        <xdr:spPr>
          <a:xfrm>
            <a:off x="4891548" y="2371724"/>
            <a:ext cx="1368295" cy="885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Community</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Ask questions and connect with other Excel fans.</a:t>
            </a:r>
          </a:p>
        </xdr:txBody>
      </xdr:sp>
      <xdr:sp macro="" textlink="">
        <xdr:nvSpPr>
          <xdr:cNvPr id="26" name="TextBox 25" descr="LinkedIn Learning&#10;Video courses for all levels—from beginner to advanced. Take at your own pace">
            <a:hlinkClick xmlns:r="http://schemas.openxmlformats.org/officeDocument/2006/relationships" r:id="rId1" tooltip="Learn more from LinkedIn Learning on the web"/>
            <a:extLst>
              <a:ext uri="{FF2B5EF4-FFF2-40B4-BE49-F238E27FC236}">
                <a16:creationId xmlns:a16="http://schemas.microsoft.com/office/drawing/2014/main" id="{ABA3844E-6077-4C10-A9E2-A3F7664F43A7}"/>
              </a:ext>
            </a:extLst>
          </xdr:cNvPr>
          <xdr:cNvSpPr txBox="1"/>
        </xdr:nvSpPr>
        <xdr:spPr>
          <a:xfrm>
            <a:off x="2038350" y="2369872"/>
            <a:ext cx="1790700" cy="1116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LinkedIn Learning</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Video courses for all levels—from beginner to advanced. Take at your own pace.</a:t>
            </a:r>
          </a:p>
        </xdr:txBody>
      </xdr:sp>
      <xdr:pic>
        <xdr:nvPicPr>
          <xdr:cNvPr id="27" name="Picture 26" descr="Computer">
            <a:hlinkClick xmlns:r="http://schemas.openxmlformats.org/officeDocument/2006/relationships" r:id="rId1" tooltip="Learn more from LinkedIn Learning on the web"/>
            <a:extLst>
              <a:ext uri="{FF2B5EF4-FFF2-40B4-BE49-F238E27FC236}">
                <a16:creationId xmlns:a16="http://schemas.microsoft.com/office/drawing/2014/main" id="{C1227E9C-C4C3-4ABA-B6D7-B63CC46C763D}"/>
              </a:ext>
            </a:extLst>
          </xdr:cNvPr>
          <xdr:cNvPicPr>
            <a:picLocks noChangeAspect="1"/>
          </xdr:cNvPicPr>
        </xdr:nvPicPr>
        <xdr:blipFill rotWithShape="1">
          <a:blip xmlns:r="http://schemas.openxmlformats.org/officeDocument/2006/relationships" r:embed="rId4">
            <a:extLst>
              <a:ext uri="{28A0092B-C50C-407E-A947-70E740481C1C}">
                <a14:useLocalDpi xmlns:a14="http://schemas.microsoft.com/office/drawing/2010/main" val="0"/>
              </a:ext>
            </a:extLst>
          </a:blip>
          <a:srcRect/>
          <a:stretch/>
        </xdr:blipFill>
        <xdr:spPr>
          <a:xfrm>
            <a:off x="1104901" y="2601979"/>
            <a:ext cx="895350" cy="600076"/>
          </a:xfrm>
          <a:prstGeom prst="rect">
            <a:avLst/>
          </a:prstGeom>
        </xdr:spPr>
      </xdr:pic>
      <xdr:sp macro="" textlink="">
        <xdr:nvSpPr>
          <xdr:cNvPr id="28" name="TextBox 27" descr="What else is new?&#10;Office 365 subscribers get continual updates and new features">
            <a:hlinkClick xmlns:r="http://schemas.openxmlformats.org/officeDocument/2006/relationships" r:id="rId3" tooltip="Learn more about what's new in Excel on the web"/>
            <a:extLst>
              <a:ext uri="{FF2B5EF4-FFF2-40B4-BE49-F238E27FC236}">
                <a16:creationId xmlns:a16="http://schemas.microsoft.com/office/drawing/2014/main" id="{ECCFA6AB-0C67-4817-85A5-BD3EDB6C982F}"/>
              </a:ext>
            </a:extLst>
          </xdr:cNvPr>
          <xdr:cNvSpPr txBox="1"/>
        </xdr:nvSpPr>
        <xdr:spPr>
          <a:xfrm>
            <a:off x="7753351" y="2371725"/>
            <a:ext cx="1646696" cy="9709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400" baseline="0">
                <a:solidFill>
                  <a:srgbClr val="217346"/>
                </a:solidFill>
                <a:effectLst/>
                <a:latin typeface="Segoe UI Light" panose="020B0502040204020203" pitchFamily="34" charset="0"/>
                <a:ea typeface="+mn-ea"/>
                <a:cs typeface="Segoe UI Light" panose="020B0502040204020203" pitchFamily="34" charset="0"/>
              </a:rPr>
              <a:t>What else is new?</a:t>
            </a:r>
          </a:p>
          <a:p>
            <a:pPr algn="l"/>
            <a:r>
              <a:rPr lang="en-US" sz="1100" baseline="0">
                <a:solidFill>
                  <a:schemeClr val="tx1">
                    <a:lumMod val="75000"/>
                    <a:lumOff val="25000"/>
                  </a:schemeClr>
                </a:solidFill>
                <a:effectLst/>
                <a:latin typeface="Segoe UI" panose="020B0502040204020203" pitchFamily="34" charset="0"/>
                <a:ea typeface="+mn-ea"/>
                <a:cs typeface="Segoe UI" panose="020B0502040204020203" pitchFamily="34" charset="0"/>
              </a:rPr>
              <a:t>Office 365 subscribers get continual updates and new features.</a:t>
            </a:r>
            <a:endParaRPr lang="en-US" sz="1100">
              <a:solidFill>
                <a:schemeClr val="tx1">
                  <a:lumMod val="75000"/>
                  <a:lumOff val="25000"/>
                </a:schemeClr>
              </a:solidFill>
              <a:latin typeface="Segoe UI" panose="020B0502040204020203" pitchFamily="34" charset="0"/>
              <a:cs typeface="Segoe UI" panose="020B0502040204020203" pitchFamily="34" charset="0"/>
            </a:endParaRPr>
          </a:p>
        </xdr:txBody>
      </xdr:sp>
      <xdr:pic>
        <xdr:nvPicPr>
          <xdr:cNvPr id="29" name="Picture 28" descr="Community">
            <a:hlinkClick xmlns:r="http://schemas.openxmlformats.org/officeDocument/2006/relationships" r:id="rId2" tooltip="Learn more from the Excel community on the web"/>
            <a:extLst>
              <a:ext uri="{FF2B5EF4-FFF2-40B4-BE49-F238E27FC236}">
                <a16:creationId xmlns:a16="http://schemas.microsoft.com/office/drawing/2014/main" id="{41B2A156-9057-46D4-BFEA-4C4DAD54015C}"/>
              </a:ext>
            </a:extLst>
          </xdr:cNvPr>
          <xdr:cNvPicPr>
            <a:picLocks noChangeAspect="1"/>
          </xdr:cNvPicPr>
        </xdr:nvPicPr>
        <xdr:blipFill>
          <a:blip xmlns:r="http://schemas.openxmlformats.org/officeDocument/2006/relationships" r:embed="rId5"/>
          <a:stretch>
            <a:fillRect/>
          </a:stretch>
        </xdr:blipFill>
        <xdr:spPr>
          <a:xfrm>
            <a:off x="3952875" y="2514716"/>
            <a:ext cx="926984" cy="774603"/>
          </a:xfrm>
          <a:prstGeom prst="rect">
            <a:avLst/>
          </a:prstGeom>
        </xdr:spPr>
      </xdr:pic>
    </xdr:grpSp>
    <xdr:clientData/>
  </xdr:oneCellAnchor>
  <xdr:oneCellAnchor>
    <xdr:from>
      <xdr:col>1</xdr:col>
      <xdr:colOff>6288963</xdr:colOff>
      <xdr:row>11</xdr:row>
      <xdr:rowOff>75852</xdr:rowOff>
    </xdr:from>
    <xdr:ext cx="974505" cy="786961"/>
    <xdr:grpSp>
      <xdr:nvGrpSpPr>
        <xdr:cNvPr id="5" name="Group 4" descr="What else is new?">
          <a:hlinkClick xmlns:r="http://schemas.openxmlformats.org/officeDocument/2006/relationships" r:id="rId3" tooltip="Learn more about what's new in Excel on the web"/>
          <a:extLst>
            <a:ext uri="{FF2B5EF4-FFF2-40B4-BE49-F238E27FC236}">
              <a16:creationId xmlns:a16="http://schemas.microsoft.com/office/drawing/2014/main" id="{C26483B0-64DC-4BE9-92D8-7D9943F8404A}"/>
            </a:ext>
          </a:extLst>
        </xdr:cNvPr>
        <xdr:cNvGrpSpPr/>
      </xdr:nvGrpSpPr>
      <xdr:grpSpPr>
        <a:xfrm>
          <a:off x="6898563" y="2742852"/>
          <a:ext cx="974505" cy="786961"/>
          <a:chOff x="6717588" y="3592566"/>
          <a:chExt cx="974505" cy="786961"/>
        </a:xfrm>
      </xdr:grpSpPr>
      <xdr:pic>
        <xdr:nvPicPr>
          <xdr:cNvPr id="6" name="Graphic 5" descr="Newspaper">
            <a:extLst>
              <a:ext uri="{FF2B5EF4-FFF2-40B4-BE49-F238E27FC236}">
                <a16:creationId xmlns:a16="http://schemas.microsoft.com/office/drawing/2014/main" id="{C4C50A08-36A1-4EB5-B3E3-5871348DA9A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873201" y="3769928"/>
            <a:ext cx="669283" cy="609599"/>
          </a:xfrm>
          <a:prstGeom prst="rect">
            <a:avLst/>
          </a:prstGeom>
        </xdr:spPr>
      </xdr:pic>
      <xdr:grpSp>
        <xdr:nvGrpSpPr>
          <xdr:cNvPr id="7" name="Group 6" descr="Radiating lines">
            <a:extLst>
              <a:ext uri="{FF2B5EF4-FFF2-40B4-BE49-F238E27FC236}">
                <a16:creationId xmlns:a16="http://schemas.microsoft.com/office/drawing/2014/main" id="{E1BA0500-D74F-47DF-B174-42DE06128115}"/>
              </a:ext>
            </a:extLst>
          </xdr:cNvPr>
          <xdr:cNvGrpSpPr/>
        </xdr:nvGrpSpPr>
        <xdr:grpSpPr>
          <a:xfrm>
            <a:off x="6717588" y="3592566"/>
            <a:ext cx="974505" cy="414995"/>
            <a:chOff x="6717588" y="3592566"/>
            <a:chExt cx="974505" cy="414995"/>
          </a:xfrm>
        </xdr:grpSpPr>
        <xdr:cxnSp macro="">
          <xdr:nvCxnSpPr>
            <xdr:cNvPr id="8" name="Straight Connector 7" descr="Line">
              <a:extLst>
                <a:ext uri="{FF2B5EF4-FFF2-40B4-BE49-F238E27FC236}">
                  <a16:creationId xmlns:a16="http://schemas.microsoft.com/office/drawing/2014/main" id="{60F99F57-82B7-4C45-9E1F-6F539428C99F}"/>
                </a:ext>
              </a:extLst>
            </xdr:cNvPr>
            <xdr:cNvCxnSpPr/>
          </xdr:nvCxnSpPr>
          <xdr:spPr>
            <a:xfrm>
              <a:off x="6797564"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9" name="Straight Connector 8" descr="Line">
              <a:extLst>
                <a:ext uri="{FF2B5EF4-FFF2-40B4-BE49-F238E27FC236}">
                  <a16:creationId xmlns:a16="http://schemas.microsoft.com/office/drawing/2014/main" id="{3B5990D6-B9FE-4EE3-B6AF-131B8541AF7C}"/>
                </a:ext>
              </a:extLst>
            </xdr:cNvPr>
            <xdr:cNvCxnSpPr/>
          </xdr:nvCxnSpPr>
          <xdr:spPr>
            <a:xfrm>
              <a:off x="7171996" y="3592566"/>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0" name="Straight Connector 9" descr="Line">
              <a:extLst>
                <a:ext uri="{FF2B5EF4-FFF2-40B4-BE49-F238E27FC236}">
                  <a16:creationId xmlns:a16="http://schemas.microsoft.com/office/drawing/2014/main" id="{14DE8C8C-88B2-47BC-9A89-7F755A4EEB16}"/>
                </a:ext>
              </a:extLst>
            </xdr:cNvPr>
            <xdr:cNvCxnSpPr/>
          </xdr:nvCxnSpPr>
          <xdr:spPr>
            <a:xfrm flipH="1">
              <a:off x="7454461" y="3671394"/>
              <a:ext cx="115615" cy="113971"/>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1" name="Straight Connector 10" descr="Line">
              <a:extLst>
                <a:ext uri="{FF2B5EF4-FFF2-40B4-BE49-F238E27FC236}">
                  <a16:creationId xmlns:a16="http://schemas.microsoft.com/office/drawing/2014/main" id="{2EC00F15-9B85-41E1-887D-BDD4E298A585}"/>
                </a:ext>
              </a:extLst>
            </xdr:cNvPr>
            <xdr:cNvCxnSpPr/>
          </xdr:nvCxnSpPr>
          <xdr:spPr>
            <a:xfrm rot="5400000">
              <a:off x="6790996"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2" name="Straight Connector 11" descr="Line">
              <a:extLst>
                <a:ext uri="{FF2B5EF4-FFF2-40B4-BE49-F238E27FC236}">
                  <a16:creationId xmlns:a16="http://schemas.microsoft.com/office/drawing/2014/main" id="{6BB4DA8E-3D9A-4F41-BFA9-62787CEDBB3C}"/>
                </a:ext>
              </a:extLst>
            </xdr:cNvPr>
            <xdr:cNvCxnSpPr/>
          </xdr:nvCxnSpPr>
          <xdr:spPr>
            <a:xfrm rot="5400000">
              <a:off x="7618685" y="3934153"/>
              <a:ext cx="0" cy="146816"/>
            </a:xfrm>
            <a:prstGeom prst="line">
              <a:avLst/>
            </a:prstGeom>
            <a:ln w="57150" cap="sq">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grp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Fruit" displayName="tbl_Fruit" ref="Z2:Z6" totalsRowShown="0" headerRowDxfId="14" dataDxfId="13" headerRowCellStyle="Heading 3 2" dataCellStyle="GrayCell">
  <autoFilter ref="Z2:Z6" xr:uid="{00000000-0009-0000-0100-000001000000}"/>
  <tableColumns count="1">
    <tableColumn id="1" xr3:uid="{00000000-0010-0000-0000-000001000000}" name="Fruit" dataDxfId="12" dataCellStyle="GrayCel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_FruitType" displayName="tbl_FruitType" ref="AB2:AB4" totalsRowShown="0" headerRowDxfId="11" dataDxfId="10" headerRowCellStyle="Heading 3 2" dataCellStyle="GrayCell">
  <autoFilter ref="AB2:AB4" xr:uid="{00000000-0009-0000-0100-000002000000}"/>
  <tableColumns count="1">
    <tableColumn id="1" xr3:uid="{00000000-0010-0000-0100-000001000000}" name="Apples" dataDxfId="9" dataCellStyle="GrayCel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_FruitType4" displayName="tbl_FruitType4" ref="AD2:AD4" totalsRowShown="0" headerRowDxfId="8" dataDxfId="7" headerRowCellStyle="Heading 3 2" dataCellStyle="GrayCell">
  <autoFilter ref="AD2:AD4" xr:uid="{00000000-0009-0000-0100-000003000000}"/>
  <tableColumns count="1">
    <tableColumn id="1" xr3:uid="{00000000-0010-0000-0200-000001000000}" name="Oranges" dataDxfId="6" dataCellStyle="GrayCel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bl_FruitType5" displayName="tbl_FruitType5" ref="AH2:AH4" totalsRowShown="0" headerRowDxfId="5" dataDxfId="4" headerRowCellStyle="Heading 3 2" dataCellStyle="GrayCell">
  <autoFilter ref="AH2:AH4" xr:uid="{00000000-0009-0000-0100-000004000000}"/>
  <tableColumns count="1">
    <tableColumn id="1" xr3:uid="{00000000-0010-0000-0300-000001000000}" name="Lemons" dataDxfId="3" dataCellStyle="GrayCell"/>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bl_FruitType6" displayName="tbl_FruitType6" ref="AF2:AF4" totalsRowShown="0" headerRowDxfId="2" dataDxfId="1" headerRowCellStyle="Heading 3 2" dataCellStyle="GrayCell">
  <autoFilter ref="AF2:AF4" xr:uid="{00000000-0009-0000-0100-000005000000}"/>
  <tableColumns count="1">
    <tableColumn id="1" xr3:uid="{00000000-0010-0000-0400-000001000000}" name="Bananas" dataDxfId="0" dataCellStyle="GrayCell"/>
  </tableColumns>
  <tableStyleInfo name="TableStyleMedium2"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E20016FD-C321-4CFD-A64E-8EB60DC55068}">
  <we:reference id="db18cc72-1a17-45df-b60e-7ffb655e8af5" version="1.0.0.0" store="EXCatalog" storeType="EXCatalog"/>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go.microsoft.com/fwlink/?linkid=844737"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o.microsoft.com/fwlink/?linkid=844732" TargetMode="External"/><Relationship Id="rId2" Type="http://schemas.openxmlformats.org/officeDocument/2006/relationships/hyperlink" Target="https://go.microsoft.com/fwlink/?linkid=844727" TargetMode="External"/><Relationship Id="rId1" Type="http://schemas.openxmlformats.org/officeDocument/2006/relationships/hyperlink" Target="https://go.microsoft.com/fwlink/?linkid=844719"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s://go.microsoft.com/fwlink/?linkid=844737"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8.bin"/><Relationship Id="rId1" Type="http://schemas.openxmlformats.org/officeDocument/2006/relationships/hyperlink" Target="https://support.office.com/en-us/article/IF-function-69AED7C9-4E8A-4755-A9BC-AA8BBFF73BE2"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http://go.microsoft.com/fwlink/?LinkId=846286" TargetMode="External"/><Relationship Id="rId2" Type="http://schemas.openxmlformats.org/officeDocument/2006/relationships/hyperlink" Target="http://go.microsoft.com/fwlink/?LinkId=844969" TargetMode="External"/><Relationship Id="rId1" Type="http://schemas.openxmlformats.org/officeDocument/2006/relationships/hyperlink" Target="http://go.microsoft.com/fwlink/?LinkId=846285" TargetMode="External"/><Relationship Id="rId4"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A5"/>
  <sheetViews>
    <sheetView showGridLines="0" showRowColHeaders="0" workbookViewId="0">
      <selection activeCell="A3" sqref="A3"/>
    </sheetView>
  </sheetViews>
  <sheetFormatPr baseColWidth="10" defaultColWidth="11.109375" defaultRowHeight="20.25" customHeight="1" x14ac:dyDescent="0.3"/>
  <cols>
    <col min="1" max="1" width="129.6640625" style="1" customWidth="1"/>
    <col min="2" max="2" width="3.5546875" style="1" customWidth="1"/>
    <col min="3" max="16384" width="11.109375" style="1"/>
  </cols>
  <sheetData>
    <row r="1" spans="1:1" ht="20.25" customHeight="1" x14ac:dyDescent="1.55">
      <c r="A1" s="67"/>
    </row>
    <row r="2" spans="1:1" ht="102" customHeight="1" x14ac:dyDescent="1.55">
      <c r="A2" s="67" t="s">
        <v>264</v>
      </c>
    </row>
    <row r="3" spans="1:1" ht="44.4" x14ac:dyDescent="0.45">
      <c r="A3" s="2" t="s">
        <v>265</v>
      </c>
    </row>
    <row r="4" spans="1:1" ht="264" customHeight="1" x14ac:dyDescent="0.3">
      <c r="A4" s="3" t="s">
        <v>0</v>
      </c>
    </row>
    <row r="5" spans="1:1" ht="20.25" customHeight="1" x14ac:dyDescent="0.45">
      <c r="A5" s="2"/>
    </row>
  </sheetData>
  <pageMargins left="0.7" right="0.7" top="0.75" bottom="0.75" header="0.3" footer="0.3"/>
  <pageSetup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dimension ref="A1:N86"/>
  <sheetViews>
    <sheetView showGridLines="0" zoomScaleNormal="100" workbookViewId="0">
      <selection activeCell="E62" sqref="E62"/>
    </sheetView>
  </sheetViews>
  <sheetFormatPr baseColWidth="10" defaultColWidth="9.109375" defaultRowHeight="14.4" x14ac:dyDescent="0.3"/>
  <cols>
    <col min="1" max="1" width="12.6640625" style="29" customWidth="1"/>
    <col min="2" max="2" width="82.88671875" style="23" customWidth="1"/>
    <col min="3" max="3" width="15.6640625" style="23" bestFit="1" customWidth="1"/>
    <col min="4" max="4" width="2.33203125" style="23" customWidth="1"/>
    <col min="5" max="5" width="18" style="23" bestFit="1" customWidth="1"/>
    <col min="6" max="6" width="15.6640625" style="23" customWidth="1"/>
    <col min="7" max="7" width="13.33203125" style="23" customWidth="1"/>
    <col min="8" max="10" width="9.109375" style="23"/>
    <col min="11" max="11" width="9.109375" style="23" customWidth="1"/>
    <col min="12" max="16384" width="9.109375" style="23"/>
  </cols>
  <sheetData>
    <row r="1" spans="1:7" ht="60" customHeight="1" x14ac:dyDescent="0.3">
      <c r="A1" s="29" t="s">
        <v>84</v>
      </c>
      <c r="C1" s="71"/>
      <c r="D1" s="72"/>
      <c r="E1" s="72"/>
      <c r="F1" s="72"/>
    </row>
    <row r="2" spans="1:7" ht="15" thickBot="1" x14ac:dyDescent="0.35">
      <c r="A2" s="29" t="s">
        <v>85</v>
      </c>
      <c r="C2" s="73" t="s">
        <v>266</v>
      </c>
      <c r="E2" s="7" t="s">
        <v>246</v>
      </c>
      <c r="F2" s="8" t="s">
        <v>268</v>
      </c>
      <c r="G2" s="8" t="s">
        <v>267</v>
      </c>
    </row>
    <row r="3" spans="1:7" ht="15.6" thickTop="1" thickBot="1" x14ac:dyDescent="0.35">
      <c r="A3" s="29" t="s">
        <v>86</v>
      </c>
      <c r="C3" s="91">
        <v>1</v>
      </c>
      <c r="E3" s="104" t="s">
        <v>81</v>
      </c>
      <c r="F3" s="103"/>
      <c r="G3" s="105">
        <f>C3+C4</f>
        <v>3</v>
      </c>
    </row>
    <row r="4" spans="1:7" ht="15.6" thickTop="1" thickBot="1" x14ac:dyDescent="0.35">
      <c r="A4" s="29" t="s">
        <v>87</v>
      </c>
      <c r="C4" s="91">
        <v>2</v>
      </c>
      <c r="E4" s="127" t="s">
        <v>269</v>
      </c>
      <c r="F4" s="103"/>
      <c r="G4" s="105">
        <f>C3-C4</f>
        <v>-1</v>
      </c>
    </row>
    <row r="5" spans="1:7" ht="15" thickTop="1" x14ac:dyDescent="0.3">
      <c r="A5" s="29" t="s">
        <v>88</v>
      </c>
      <c r="E5" s="104" t="s">
        <v>82</v>
      </c>
      <c r="F5" s="103"/>
      <c r="G5" s="105">
        <f>C3*C4</f>
        <v>2</v>
      </c>
    </row>
    <row r="6" spans="1:7" ht="15" thickBot="1" x14ac:dyDescent="0.35">
      <c r="A6" s="29" t="s">
        <v>89</v>
      </c>
      <c r="E6" s="104" t="s">
        <v>83</v>
      </c>
      <c r="F6" s="103"/>
      <c r="G6" s="105">
        <f>C3/C4</f>
        <v>0.5</v>
      </c>
    </row>
    <row r="7" spans="1:7" ht="15" customHeight="1" thickTop="1" thickBot="1" x14ac:dyDescent="0.35">
      <c r="A7" s="29" t="s">
        <v>106</v>
      </c>
      <c r="E7" s="127" t="s">
        <v>270</v>
      </c>
      <c r="F7" s="106"/>
      <c r="G7" s="105">
        <f>C3^C4</f>
        <v>1</v>
      </c>
    </row>
    <row r="8" spans="1:7" ht="15" thickTop="1" x14ac:dyDescent="0.3">
      <c r="A8" s="29" t="s">
        <v>107</v>
      </c>
    </row>
    <row r="9" spans="1:7" x14ac:dyDescent="0.3">
      <c r="A9" s="29" t="s">
        <v>90</v>
      </c>
    </row>
    <row r="10" spans="1:7" x14ac:dyDescent="0.3">
      <c r="A10" s="29" t="s">
        <v>91</v>
      </c>
    </row>
    <row r="11" spans="1:7" x14ac:dyDescent="0.3">
      <c r="A11" s="29" t="s">
        <v>92</v>
      </c>
    </row>
    <row r="12" spans="1:7" x14ac:dyDescent="0.3">
      <c r="A12" s="29" t="s">
        <v>93</v>
      </c>
    </row>
    <row r="13" spans="1:7" ht="15" customHeight="1" x14ac:dyDescent="0.3">
      <c r="A13" s="31" t="s">
        <v>258</v>
      </c>
    </row>
    <row r="14" spans="1:7" x14ac:dyDescent="0.3">
      <c r="A14" s="29" t="s">
        <v>94</v>
      </c>
    </row>
    <row r="15" spans="1:7" x14ac:dyDescent="0.3">
      <c r="A15" s="29" t="s">
        <v>95</v>
      </c>
    </row>
    <row r="16" spans="1:7" x14ac:dyDescent="0.3">
      <c r="A16" s="29" t="s">
        <v>96</v>
      </c>
    </row>
    <row r="17" spans="1:7" x14ac:dyDescent="0.3">
      <c r="A17" s="29" t="s">
        <v>108</v>
      </c>
    </row>
    <row r="18" spans="1:7" x14ac:dyDescent="0.3">
      <c r="A18" s="29" t="s">
        <v>97</v>
      </c>
    </row>
    <row r="19" spans="1:7" x14ac:dyDescent="0.3">
      <c r="A19" s="29" t="s">
        <v>98</v>
      </c>
    </row>
    <row r="20" spans="1:7" x14ac:dyDescent="0.3">
      <c r="A20" s="29" t="s">
        <v>99</v>
      </c>
    </row>
    <row r="21" spans="1:7" ht="15" customHeight="1" x14ac:dyDescent="0.3">
      <c r="A21" s="31" t="s">
        <v>244</v>
      </c>
    </row>
    <row r="22" spans="1:7" x14ac:dyDescent="0.3">
      <c r="A22" s="29" t="s">
        <v>100</v>
      </c>
    </row>
    <row r="23" spans="1:7" x14ac:dyDescent="0.3">
      <c r="A23" s="29" t="s">
        <v>101</v>
      </c>
    </row>
    <row r="24" spans="1:7" x14ac:dyDescent="0.3">
      <c r="A24" s="29" t="s">
        <v>18</v>
      </c>
    </row>
    <row r="25" spans="1:7" ht="32.4" x14ac:dyDescent="0.3">
      <c r="A25" s="29" t="s">
        <v>102</v>
      </c>
      <c r="C25" s="71"/>
      <c r="D25" s="72"/>
      <c r="E25" s="72"/>
      <c r="F25" s="72"/>
      <c r="G25" s="72"/>
    </row>
    <row r="26" spans="1:7" x14ac:dyDescent="0.3">
      <c r="A26" s="29" t="s">
        <v>103</v>
      </c>
    </row>
    <row r="27" spans="1:7" x14ac:dyDescent="0.3">
      <c r="A27" s="29" t="s">
        <v>104</v>
      </c>
    </row>
    <row r="28" spans="1:7" ht="25.8" x14ac:dyDescent="0.5">
      <c r="A28" s="29" t="s">
        <v>105</v>
      </c>
      <c r="E28" s="64"/>
    </row>
    <row r="29" spans="1:7" x14ac:dyDescent="0.3">
      <c r="A29" s="29" t="s">
        <v>21</v>
      </c>
    </row>
    <row r="40" spans="10:14" x14ac:dyDescent="0.3">
      <c r="J40" s="8" t="s">
        <v>271</v>
      </c>
    </row>
    <row r="41" spans="10:14" x14ac:dyDescent="0.3">
      <c r="J41" s="65">
        <v>4</v>
      </c>
    </row>
    <row r="42" spans="10:14" x14ac:dyDescent="0.3">
      <c r="J42" s="65">
        <v>8</v>
      </c>
    </row>
    <row r="43" spans="10:14" x14ac:dyDescent="0.3">
      <c r="J43" s="63">
        <f>SUM(J41:J42)</f>
        <v>12</v>
      </c>
      <c r="N43"/>
    </row>
    <row r="46" spans="10:14" x14ac:dyDescent="0.3">
      <c r="L46"/>
      <c r="M46"/>
    </row>
    <row r="64" spans="7:7" x14ac:dyDescent="0.3">
      <c r="G64" s="66"/>
    </row>
    <row r="65" spans="7:7" x14ac:dyDescent="0.3">
      <c r="G65" s="66"/>
    </row>
    <row r="66" spans="7:7" x14ac:dyDescent="0.3">
      <c r="G66" s="66"/>
    </row>
    <row r="67" spans="7:7" x14ac:dyDescent="0.3">
      <c r="G67" s="66"/>
    </row>
    <row r="86" ht="17.399999999999999" customHeight="1" x14ac:dyDescent="0.3"/>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M88"/>
  <sheetViews>
    <sheetView showGridLines="0" topLeftCell="A31" zoomScaleNormal="100" zoomScalePageLayoutView="125" workbookViewId="0">
      <selection activeCell="K30" sqref="K30"/>
    </sheetView>
  </sheetViews>
  <sheetFormatPr baseColWidth="10" defaultColWidth="8.88671875" defaultRowHeight="15" customHeight="1" x14ac:dyDescent="0.3"/>
  <cols>
    <col min="1" max="1" width="12.6640625" style="74" customWidth="1"/>
    <col min="2" max="2" width="82.88671875" style="78" customWidth="1"/>
    <col min="3" max="4" width="13.33203125" style="78" customWidth="1"/>
    <col min="5" max="5" width="2.33203125" style="78" customWidth="1"/>
    <col min="6" max="6" width="16" style="78" bestFit="1" customWidth="1"/>
    <col min="7" max="7" width="13.33203125" style="78" customWidth="1"/>
    <col min="8" max="16384" width="8.88671875" style="78"/>
  </cols>
  <sheetData>
    <row r="1" spans="1:13" ht="60" customHeight="1" x14ac:dyDescent="0.65">
      <c r="A1" s="9" t="s">
        <v>109</v>
      </c>
      <c r="B1" s="75"/>
      <c r="C1" s="76"/>
      <c r="D1" s="77"/>
      <c r="E1" s="77"/>
      <c r="F1" s="77"/>
      <c r="G1" s="77"/>
    </row>
    <row r="2" spans="1:13" ht="15" customHeight="1" x14ac:dyDescent="0.3">
      <c r="A2" s="74" t="s">
        <v>110</v>
      </c>
      <c r="C2" s="79" t="s">
        <v>1</v>
      </c>
      <c r="D2" s="80" t="s">
        <v>2</v>
      </c>
      <c r="F2" s="7" t="s">
        <v>272</v>
      </c>
      <c r="G2" s="80" t="s">
        <v>2</v>
      </c>
    </row>
    <row r="3" spans="1:13" ht="15" customHeight="1" x14ac:dyDescent="0.3">
      <c r="A3" s="42" t="s">
        <v>245</v>
      </c>
      <c r="B3" s="81"/>
      <c r="C3" s="128" t="s">
        <v>275</v>
      </c>
      <c r="D3" s="108">
        <v>50</v>
      </c>
      <c r="F3" s="128" t="s">
        <v>278</v>
      </c>
      <c r="G3" s="108">
        <v>50</v>
      </c>
    </row>
    <row r="4" spans="1:13" ht="15" customHeight="1" x14ac:dyDescent="0.3">
      <c r="A4" s="74" t="s">
        <v>111</v>
      </c>
      <c r="C4" s="108" t="s">
        <v>4</v>
      </c>
      <c r="D4" s="108">
        <v>20</v>
      </c>
      <c r="E4" s="82"/>
      <c r="F4" s="128" t="s">
        <v>279</v>
      </c>
      <c r="G4" s="108">
        <v>30</v>
      </c>
    </row>
    <row r="5" spans="1:13" s="82" customFormat="1" ht="15" customHeight="1" x14ac:dyDescent="0.3">
      <c r="A5" s="9" t="s">
        <v>225</v>
      </c>
      <c r="C5" s="128" t="s">
        <v>276</v>
      </c>
      <c r="D5" s="108">
        <v>60</v>
      </c>
      <c r="F5" s="128" t="s">
        <v>280</v>
      </c>
      <c r="G5" s="108">
        <v>10</v>
      </c>
    </row>
    <row r="6" spans="1:13" s="82" customFormat="1" ht="15" customHeight="1" x14ac:dyDescent="0.3">
      <c r="A6" s="74" t="s">
        <v>90</v>
      </c>
      <c r="B6" s="83"/>
      <c r="C6" s="128" t="s">
        <v>277</v>
      </c>
      <c r="D6" s="109">
        <v>40</v>
      </c>
      <c r="F6" s="128" t="s">
        <v>281</v>
      </c>
      <c r="G6" s="109">
        <v>50</v>
      </c>
    </row>
    <row r="7" spans="1:13" s="82" customFormat="1" ht="15" customHeight="1" x14ac:dyDescent="0.3">
      <c r="A7" s="74" t="s">
        <v>112</v>
      </c>
      <c r="C7" s="124" t="s">
        <v>273</v>
      </c>
      <c r="D7" s="110">
        <f>SUM(D3:D6)</f>
        <v>170</v>
      </c>
      <c r="F7" s="124" t="s">
        <v>273</v>
      </c>
      <c r="G7" s="110">
        <f>SUM(G3:G6)</f>
        <v>140</v>
      </c>
      <c r="M7" s="84"/>
    </row>
    <row r="8" spans="1:13" s="82" customFormat="1" ht="15" customHeight="1" x14ac:dyDescent="0.3">
      <c r="A8" s="74" t="s">
        <v>91</v>
      </c>
      <c r="M8" s="84"/>
    </row>
    <row r="9" spans="1:13" s="82" customFormat="1" ht="15" customHeight="1" x14ac:dyDescent="0.3">
      <c r="A9" s="74" t="s">
        <v>113</v>
      </c>
      <c r="C9" s="7" t="s">
        <v>274</v>
      </c>
      <c r="D9" s="80" t="s">
        <v>2</v>
      </c>
      <c r="F9" s="79" t="s">
        <v>7</v>
      </c>
      <c r="G9" s="80" t="s">
        <v>2</v>
      </c>
      <c r="M9" s="84"/>
    </row>
    <row r="10" spans="1:13" s="82" customFormat="1" ht="15" customHeight="1" x14ac:dyDescent="0.4">
      <c r="A10" s="85" t="s">
        <v>114</v>
      </c>
      <c r="C10" s="128" t="s">
        <v>282</v>
      </c>
      <c r="D10" s="108">
        <v>50</v>
      </c>
      <c r="F10" s="128" t="s">
        <v>282</v>
      </c>
      <c r="G10" s="108">
        <v>50</v>
      </c>
      <c r="M10" s="84"/>
    </row>
    <row r="11" spans="1:13" s="82" customFormat="1" ht="15" customHeight="1" x14ac:dyDescent="0.3">
      <c r="A11" s="74" t="s">
        <v>115</v>
      </c>
      <c r="C11" s="128" t="s">
        <v>285</v>
      </c>
      <c r="D11" s="108">
        <v>100</v>
      </c>
      <c r="F11" s="128" t="s">
        <v>285</v>
      </c>
      <c r="G11" s="108">
        <v>100</v>
      </c>
      <c r="M11" s="84"/>
    </row>
    <row r="12" spans="1:13" s="82" customFormat="1" ht="15" customHeight="1" x14ac:dyDescent="0.3">
      <c r="A12" s="74" t="s">
        <v>116</v>
      </c>
      <c r="C12" s="108" t="s">
        <v>8</v>
      </c>
      <c r="D12" s="108">
        <v>40</v>
      </c>
      <c r="F12" s="108" t="s">
        <v>8</v>
      </c>
      <c r="G12" s="108">
        <v>40</v>
      </c>
      <c r="M12" s="84"/>
    </row>
    <row r="13" spans="1:13" s="82" customFormat="1" ht="15" customHeight="1" x14ac:dyDescent="0.3">
      <c r="A13" s="74" t="s">
        <v>117</v>
      </c>
      <c r="C13" s="128" t="s">
        <v>284</v>
      </c>
      <c r="D13" s="108">
        <v>50</v>
      </c>
      <c r="F13" s="128" t="s">
        <v>284</v>
      </c>
      <c r="G13" s="108">
        <v>50</v>
      </c>
      <c r="M13" s="84"/>
    </row>
    <row r="14" spans="1:13" s="82" customFormat="1" ht="15" customHeight="1" thickBot="1" x14ac:dyDescent="0.35">
      <c r="A14" s="126" t="s">
        <v>257</v>
      </c>
      <c r="C14" s="128" t="s">
        <v>283</v>
      </c>
      <c r="D14" s="108">
        <v>20</v>
      </c>
      <c r="F14" s="128" t="s">
        <v>283</v>
      </c>
      <c r="G14" s="108">
        <v>20</v>
      </c>
      <c r="M14" s="84"/>
    </row>
    <row r="15" spans="1:13" s="82" customFormat="1" ht="15" customHeight="1" thickTop="1" thickBot="1" x14ac:dyDescent="0.35">
      <c r="A15" s="74" t="s">
        <v>18</v>
      </c>
      <c r="C15" s="124" t="s">
        <v>273</v>
      </c>
      <c r="D15" s="107">
        <f>SUM(D10:D14)</f>
        <v>260</v>
      </c>
      <c r="F15" s="124" t="s">
        <v>286</v>
      </c>
      <c r="G15" s="86">
        <f>COUNT(G10:G14)</f>
        <v>5</v>
      </c>
      <c r="M15" s="84"/>
    </row>
    <row r="16" spans="1:13" s="82" customFormat="1" ht="15" customHeight="1" thickTop="1" x14ac:dyDescent="0.3">
      <c r="A16" s="74" t="s">
        <v>25</v>
      </c>
      <c r="M16" s="84"/>
    </row>
    <row r="17" spans="1:13" s="82" customFormat="1" ht="15" customHeight="1" x14ac:dyDescent="0.3">
      <c r="A17" s="74" t="s">
        <v>118</v>
      </c>
      <c r="M17" s="84"/>
    </row>
    <row r="18" spans="1:13" s="82" customFormat="1" ht="15" customHeight="1" x14ac:dyDescent="0.3">
      <c r="A18" s="74" t="s">
        <v>24</v>
      </c>
      <c r="M18" s="84"/>
    </row>
    <row r="19" spans="1:13" s="82" customFormat="1" ht="15" customHeight="1" x14ac:dyDescent="0.3">
      <c r="A19" s="74" t="s">
        <v>21</v>
      </c>
      <c r="C19" s="84"/>
      <c r="M19" s="84"/>
    </row>
    <row r="20" spans="1:13" s="82" customFormat="1" ht="15" customHeight="1" x14ac:dyDescent="0.3">
      <c r="A20" s="74" t="s">
        <v>119</v>
      </c>
      <c r="M20" s="84"/>
    </row>
    <row r="21" spans="1:13" s="82" customFormat="1" ht="15" customHeight="1" x14ac:dyDescent="0.3">
      <c r="A21" s="74" t="s">
        <v>91</v>
      </c>
      <c r="M21" s="84"/>
    </row>
    <row r="22" spans="1:13" s="82" customFormat="1" ht="15" customHeight="1" x14ac:dyDescent="0.3">
      <c r="A22" s="74"/>
      <c r="M22" s="84"/>
    </row>
    <row r="23" spans="1:13" s="82" customFormat="1" ht="15" customHeight="1" x14ac:dyDescent="0.3">
      <c r="A23" s="74"/>
    </row>
    <row r="26" spans="1:13" ht="15" customHeight="1" x14ac:dyDescent="0.3">
      <c r="H26" s="84"/>
    </row>
    <row r="34" spans="3:7" ht="15" customHeight="1" x14ac:dyDescent="0.3">
      <c r="C34" s="79" t="s">
        <v>1</v>
      </c>
      <c r="D34" s="80" t="s">
        <v>2</v>
      </c>
    </row>
    <row r="35" spans="3:7" ht="15" customHeight="1" x14ac:dyDescent="0.3">
      <c r="C35" s="128" t="s">
        <v>275</v>
      </c>
      <c r="D35" s="108">
        <v>50</v>
      </c>
      <c r="E35" s="82"/>
    </row>
    <row r="36" spans="3:7" ht="15" customHeight="1" x14ac:dyDescent="0.3">
      <c r="C36" s="108" t="s">
        <v>4</v>
      </c>
      <c r="D36" s="108">
        <v>20</v>
      </c>
      <c r="E36" s="82"/>
    </row>
    <row r="37" spans="3:7" ht="15" customHeight="1" x14ac:dyDescent="0.3">
      <c r="C37" s="128" t="s">
        <v>276</v>
      </c>
      <c r="D37" s="108">
        <v>60</v>
      </c>
      <c r="E37" s="82"/>
    </row>
    <row r="38" spans="3:7" ht="15" customHeight="1" x14ac:dyDescent="0.3">
      <c r="C38" s="128" t="s">
        <v>277</v>
      </c>
      <c r="D38" s="108">
        <v>40</v>
      </c>
      <c r="E38" s="82"/>
    </row>
    <row r="39" spans="3:7" ht="15" customHeight="1" x14ac:dyDescent="0.3">
      <c r="C39" s="124" t="s">
        <v>273</v>
      </c>
      <c r="D39" s="107">
        <f>SUM(D35:D38)</f>
        <v>170</v>
      </c>
      <c r="E39" s="82"/>
      <c r="F39" s="82"/>
      <c r="G39" s="82"/>
    </row>
    <row r="44" spans="3:7" ht="15" customHeight="1" x14ac:dyDescent="0.3">
      <c r="C44" s="79" t="s">
        <v>7</v>
      </c>
      <c r="D44" s="80" t="s">
        <v>2</v>
      </c>
      <c r="E44" s="82"/>
    </row>
    <row r="45" spans="3:7" ht="15" customHeight="1" x14ac:dyDescent="0.3">
      <c r="C45" s="128" t="s">
        <v>287</v>
      </c>
      <c r="D45" s="108">
        <v>20</v>
      </c>
      <c r="E45" s="82"/>
    </row>
    <row r="46" spans="3:7" ht="15" customHeight="1" x14ac:dyDescent="0.3">
      <c r="C46" s="128" t="s">
        <v>288</v>
      </c>
      <c r="D46" s="108">
        <v>10</v>
      </c>
      <c r="E46" s="82"/>
    </row>
    <row r="47" spans="3:7" ht="15" customHeight="1" x14ac:dyDescent="0.3">
      <c r="C47" s="128" t="s">
        <v>289</v>
      </c>
      <c r="D47" s="108">
        <v>10</v>
      </c>
      <c r="E47" s="82"/>
    </row>
    <row r="48" spans="3:7" ht="15" customHeight="1" x14ac:dyDescent="0.3">
      <c r="C48" s="108" t="s">
        <v>16</v>
      </c>
      <c r="D48" s="108">
        <v>40</v>
      </c>
      <c r="E48" s="82"/>
    </row>
    <row r="50" spans="4:7" ht="15" customHeight="1" x14ac:dyDescent="0.3">
      <c r="D50" s="80" t="s">
        <v>17</v>
      </c>
      <c r="F50" s="80" t="s">
        <v>253</v>
      </c>
      <c r="G50" s="80" t="s">
        <v>252</v>
      </c>
    </row>
    <row r="51" spans="4:7" ht="15" customHeight="1" x14ac:dyDescent="0.3">
      <c r="D51" s="87">
        <f>SUM(D45:D48,100)</f>
        <v>180</v>
      </c>
      <c r="F51" s="125">
        <v>100</v>
      </c>
      <c r="G51" s="125">
        <f>SUM(D45:D48,F51)</f>
        <v>180</v>
      </c>
    </row>
    <row r="87" spans="1:1" ht="15" customHeight="1" x14ac:dyDescent="0.3">
      <c r="A87" s="74" t="s">
        <v>21</v>
      </c>
    </row>
    <row r="88" spans="1:1" ht="15" customHeight="1" x14ac:dyDescent="0.3">
      <c r="A88" s="74" t="s">
        <v>22</v>
      </c>
    </row>
  </sheetData>
  <hyperlinks>
    <hyperlink ref="A87" r:id="rId1" tooltip="Select to learn an overview of Free Excel training online from the web" xr:uid="{00000000-0004-0000-0200-000000000000}"/>
  </hyperlinks>
  <pageMargins left="0.7" right="0.7" top="0.75" bottom="0.75" header="0.3" footer="0.3"/>
  <pageSetup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J46"/>
  <sheetViews>
    <sheetView showGridLines="0" topLeftCell="A6" workbookViewId="0">
      <selection activeCell="C10" sqref="C10:C14"/>
    </sheetView>
  </sheetViews>
  <sheetFormatPr baseColWidth="10" defaultColWidth="8.88671875" defaultRowHeight="14.4" x14ac:dyDescent="0.3"/>
  <cols>
    <col min="1" max="1" width="12.6640625" style="14" customWidth="1"/>
    <col min="2" max="2" width="82.88671875" style="1" customWidth="1"/>
    <col min="3" max="3" width="13.33203125" style="9" customWidth="1"/>
    <col min="4" max="4" width="13.33203125" style="1" customWidth="1"/>
    <col min="5" max="5" width="2.33203125" style="1" customWidth="1"/>
    <col min="6" max="6" width="13.33203125" style="4" customWidth="1"/>
    <col min="7" max="7" width="13.33203125" style="1" customWidth="1"/>
    <col min="8" max="16384" width="8.88671875" style="1"/>
  </cols>
  <sheetData>
    <row r="1" spans="1:10" ht="60" customHeight="1" x14ac:dyDescent="0.3">
      <c r="A1" s="15" t="s">
        <v>120</v>
      </c>
      <c r="B1" s="43"/>
      <c r="C1" s="76"/>
      <c r="D1" s="88"/>
      <c r="E1" s="88"/>
      <c r="F1" s="88"/>
      <c r="G1" s="88"/>
      <c r="H1" s="43"/>
      <c r="I1" s="43"/>
      <c r="J1" s="43"/>
    </row>
    <row r="2" spans="1:10" ht="15" customHeight="1" x14ac:dyDescent="0.4">
      <c r="A2" s="85" t="s">
        <v>129</v>
      </c>
      <c r="B2" s="43"/>
      <c r="C2" s="7" t="s">
        <v>1</v>
      </c>
      <c r="D2" s="8" t="s">
        <v>2</v>
      </c>
      <c r="E2" s="45"/>
      <c r="F2" s="11" t="s">
        <v>272</v>
      </c>
      <c r="G2" s="8" t="s">
        <v>2</v>
      </c>
      <c r="H2" s="43"/>
      <c r="I2" s="43"/>
      <c r="J2" s="5"/>
    </row>
    <row r="3" spans="1:10" ht="15" customHeight="1" x14ac:dyDescent="0.4">
      <c r="A3" s="85" t="s">
        <v>130</v>
      </c>
      <c r="B3" s="43"/>
      <c r="C3" s="128" t="s">
        <v>275</v>
      </c>
      <c r="D3" s="113">
        <v>50</v>
      </c>
      <c r="E3" s="45"/>
      <c r="F3" s="128" t="s">
        <v>278</v>
      </c>
      <c r="G3" s="113">
        <v>50</v>
      </c>
      <c r="H3" s="43"/>
      <c r="I3" s="43"/>
      <c r="J3" s="5"/>
    </row>
    <row r="4" spans="1:10" ht="15" customHeight="1" x14ac:dyDescent="0.4">
      <c r="A4" s="85" t="s">
        <v>131</v>
      </c>
      <c r="B4" s="43"/>
      <c r="C4" s="108" t="s">
        <v>4</v>
      </c>
      <c r="D4" s="113">
        <v>20</v>
      </c>
      <c r="E4" s="45"/>
      <c r="F4" s="128" t="s">
        <v>279</v>
      </c>
      <c r="G4" s="113">
        <v>30</v>
      </c>
      <c r="H4" s="43"/>
      <c r="I4" s="43"/>
      <c r="J4" s="5"/>
    </row>
    <row r="5" spans="1:10" s="4" customFormat="1" ht="15" customHeight="1" x14ac:dyDescent="0.4">
      <c r="A5" s="85" t="s">
        <v>132</v>
      </c>
      <c r="B5" s="44"/>
      <c r="C5" s="128" t="s">
        <v>276</v>
      </c>
      <c r="D5" s="113">
        <v>60</v>
      </c>
      <c r="E5" s="45"/>
      <c r="F5" s="128" t="s">
        <v>280</v>
      </c>
      <c r="G5" s="113">
        <v>10</v>
      </c>
      <c r="H5" s="44"/>
      <c r="I5" s="44"/>
      <c r="J5" s="5"/>
    </row>
    <row r="6" spans="1:10" s="4" customFormat="1" ht="15" customHeight="1" x14ac:dyDescent="0.3">
      <c r="A6" s="95" t="s">
        <v>226</v>
      </c>
      <c r="B6" s="44"/>
      <c r="C6" s="128" t="s">
        <v>277</v>
      </c>
      <c r="D6" s="113">
        <v>40</v>
      </c>
      <c r="E6" s="45"/>
      <c r="F6" s="128" t="s">
        <v>281</v>
      </c>
      <c r="G6" s="113">
        <v>50</v>
      </c>
      <c r="H6" s="44"/>
      <c r="I6" s="44"/>
      <c r="J6" s="5"/>
    </row>
    <row r="7" spans="1:10" s="4" customFormat="1" ht="15" customHeight="1" x14ac:dyDescent="0.35">
      <c r="A7" s="28" t="s">
        <v>121</v>
      </c>
      <c r="B7" s="44"/>
      <c r="C7" s="10" t="s">
        <v>290</v>
      </c>
      <c r="D7" s="111"/>
      <c r="E7" s="45"/>
      <c r="F7" s="10" t="s">
        <v>290</v>
      </c>
      <c r="G7" s="111"/>
      <c r="H7" s="44"/>
      <c r="I7" s="44"/>
      <c r="J7" s="5"/>
    </row>
    <row r="8" spans="1:10" s="4" customFormat="1" ht="15" customHeight="1" x14ac:dyDescent="0.3">
      <c r="A8" s="17" t="s">
        <v>122</v>
      </c>
      <c r="B8" s="44"/>
      <c r="C8" s="44"/>
      <c r="D8" s="45"/>
      <c r="E8" s="45"/>
      <c r="F8" s="44"/>
      <c r="G8" s="45"/>
      <c r="H8" s="44"/>
      <c r="I8" s="44"/>
      <c r="J8" s="5"/>
    </row>
    <row r="9" spans="1:10" s="4" customFormat="1" ht="15" customHeight="1" x14ac:dyDescent="0.3">
      <c r="A9" s="95" t="s">
        <v>128</v>
      </c>
      <c r="B9" s="44"/>
      <c r="C9" s="7" t="s">
        <v>274</v>
      </c>
      <c r="D9" s="8" t="s">
        <v>2</v>
      </c>
      <c r="E9" s="45"/>
      <c r="F9" s="11" t="s">
        <v>274</v>
      </c>
      <c r="G9" s="8" t="s">
        <v>2</v>
      </c>
      <c r="H9" s="44"/>
      <c r="I9" s="44"/>
      <c r="J9" s="5"/>
    </row>
    <row r="10" spans="1:10" s="4" customFormat="1" ht="15" customHeight="1" x14ac:dyDescent="0.35">
      <c r="A10" s="28" t="s">
        <v>123</v>
      </c>
      <c r="B10" s="44"/>
      <c r="C10" s="128" t="s">
        <v>282</v>
      </c>
      <c r="D10" s="113">
        <v>50</v>
      </c>
      <c r="E10" s="45"/>
      <c r="F10" s="128" t="s">
        <v>282</v>
      </c>
      <c r="G10" s="113">
        <v>50</v>
      </c>
      <c r="H10" s="44"/>
      <c r="I10" s="44"/>
      <c r="J10" s="5"/>
    </row>
    <row r="11" spans="1:10" s="4" customFormat="1" ht="15" customHeight="1" x14ac:dyDescent="0.3">
      <c r="A11" s="17" t="s">
        <v>124</v>
      </c>
      <c r="B11" s="44"/>
      <c r="C11" s="128" t="s">
        <v>285</v>
      </c>
      <c r="D11" s="113">
        <v>100</v>
      </c>
      <c r="E11" s="45"/>
      <c r="F11" s="128" t="s">
        <v>285</v>
      </c>
      <c r="G11" s="113">
        <v>100</v>
      </c>
      <c r="H11" s="44"/>
      <c r="I11" s="44"/>
      <c r="J11" s="5"/>
    </row>
    <row r="12" spans="1:10" s="4" customFormat="1" ht="15" customHeight="1" x14ac:dyDescent="0.3">
      <c r="A12" s="17" t="s">
        <v>125</v>
      </c>
      <c r="B12" s="44"/>
      <c r="C12" s="108" t="s">
        <v>8</v>
      </c>
      <c r="D12" s="113">
        <v>40</v>
      </c>
      <c r="E12" s="45"/>
      <c r="F12" s="108" t="s">
        <v>8</v>
      </c>
      <c r="G12" s="113">
        <v>40</v>
      </c>
      <c r="H12" s="44"/>
      <c r="I12" s="44"/>
      <c r="J12" s="5"/>
    </row>
    <row r="13" spans="1:10" s="4" customFormat="1" ht="15" customHeight="1" x14ac:dyDescent="0.3">
      <c r="A13" s="17" t="s">
        <v>126</v>
      </c>
      <c r="B13" s="44"/>
      <c r="C13" s="128" t="s">
        <v>284</v>
      </c>
      <c r="D13" s="113">
        <v>50</v>
      </c>
      <c r="E13" s="45"/>
      <c r="F13" s="128" t="s">
        <v>284</v>
      </c>
      <c r="G13" s="113">
        <v>50</v>
      </c>
      <c r="H13" s="44"/>
      <c r="I13" s="44"/>
      <c r="J13" s="5"/>
    </row>
    <row r="14" spans="1:10" s="4" customFormat="1" ht="15" customHeight="1" thickBot="1" x14ac:dyDescent="0.35">
      <c r="A14" s="17" t="s">
        <v>127</v>
      </c>
      <c r="B14" s="44"/>
      <c r="C14" s="128" t="s">
        <v>283</v>
      </c>
      <c r="D14" s="113">
        <v>20</v>
      </c>
      <c r="E14" s="45"/>
      <c r="F14" s="128" t="s">
        <v>283</v>
      </c>
      <c r="G14" s="113">
        <v>20</v>
      </c>
      <c r="H14" s="44"/>
      <c r="I14" s="44"/>
      <c r="J14" s="44"/>
    </row>
    <row r="15" spans="1:10" s="4" customFormat="1" ht="15" customHeight="1" thickTop="1" thickBot="1" x14ac:dyDescent="0.35">
      <c r="A15" s="27"/>
      <c r="B15" s="44"/>
      <c r="C15" s="10" t="s">
        <v>290</v>
      </c>
      <c r="D15" s="111"/>
      <c r="E15" s="45"/>
      <c r="F15" s="44"/>
      <c r="G15" s="91"/>
      <c r="H15" s="44"/>
      <c r="I15" s="44"/>
      <c r="J15" s="44"/>
    </row>
    <row r="16" spans="1:10" s="4" customFormat="1" ht="15" customHeight="1" thickTop="1" x14ac:dyDescent="0.3">
      <c r="A16" s="17"/>
      <c r="B16" s="44"/>
      <c r="C16" s="44"/>
      <c r="D16" s="44"/>
      <c r="E16" s="44"/>
      <c r="F16" s="44"/>
      <c r="G16" s="44"/>
      <c r="H16" s="44"/>
      <c r="I16" s="44"/>
      <c r="J16" s="44"/>
    </row>
    <row r="17" spans="1:3" s="4" customFormat="1" ht="15" customHeight="1" x14ac:dyDescent="0.3">
      <c r="A17" s="17"/>
      <c r="B17" s="44"/>
      <c r="C17" s="9"/>
    </row>
    <row r="18" spans="1:3" s="4" customFormat="1" ht="15" customHeight="1" x14ac:dyDescent="0.3">
      <c r="A18" s="17"/>
      <c r="B18" s="44"/>
      <c r="C18" s="9"/>
    </row>
    <row r="19" spans="1:3" s="4" customFormat="1" ht="15" customHeight="1" x14ac:dyDescent="0.3">
      <c r="A19" s="17"/>
      <c r="B19" s="44"/>
      <c r="C19" s="9"/>
    </row>
    <row r="20" spans="1:3" s="4" customFormat="1" ht="15" customHeight="1" x14ac:dyDescent="0.3">
      <c r="A20" s="17"/>
      <c r="B20" s="44"/>
      <c r="C20" s="9"/>
    </row>
    <row r="21" spans="1:3" s="4" customFormat="1" ht="15" customHeight="1" x14ac:dyDescent="0.3">
      <c r="A21" s="17"/>
      <c r="B21" s="44"/>
      <c r="C21" s="9"/>
    </row>
    <row r="22" spans="1:3" s="4" customFormat="1" ht="15" customHeight="1" x14ac:dyDescent="0.3">
      <c r="A22" s="17"/>
      <c r="B22" s="44"/>
      <c r="C22" s="9"/>
    </row>
    <row r="23" spans="1:3" s="4" customFormat="1" ht="15" customHeight="1" x14ac:dyDescent="0.3">
      <c r="A23" s="17"/>
      <c r="B23" s="44"/>
      <c r="C23" s="9"/>
    </row>
    <row r="24" spans="1:3" s="4" customFormat="1" ht="15" customHeight="1" x14ac:dyDescent="0.3">
      <c r="A24" s="17"/>
      <c r="B24" s="44"/>
      <c r="C24" s="9"/>
    </row>
    <row r="25" spans="1:3" s="4" customFormat="1" ht="15" customHeight="1" x14ac:dyDescent="0.3">
      <c r="A25" s="17"/>
      <c r="B25" s="44"/>
      <c r="C25" s="9"/>
    </row>
    <row r="26" spans="1:3" s="4" customFormat="1" ht="15" customHeight="1" x14ac:dyDescent="0.3">
      <c r="A26" s="17"/>
      <c r="B26" s="44"/>
      <c r="C26" s="9"/>
    </row>
    <row r="27" spans="1:3" x14ac:dyDescent="0.3">
      <c r="A27" s="17"/>
      <c r="B27" s="43"/>
    </row>
    <row r="28" spans="1:3" x14ac:dyDescent="0.3">
      <c r="A28" s="17"/>
      <c r="B28" s="43"/>
    </row>
    <row r="29" spans="1:3" ht="15" customHeight="1" x14ac:dyDescent="0.3">
      <c r="A29" s="17"/>
      <c r="B29" s="43"/>
      <c r="C29" s="9" t="s">
        <v>9</v>
      </c>
    </row>
    <row r="30" spans="1:3" ht="15" customHeight="1" x14ac:dyDescent="0.3">
      <c r="A30" s="17"/>
      <c r="B30" s="43"/>
      <c r="C30" s="9" t="s">
        <v>10</v>
      </c>
    </row>
    <row r="31" spans="1:3" ht="15" customHeight="1" x14ac:dyDescent="0.3">
      <c r="A31" s="17"/>
      <c r="B31" s="43"/>
      <c r="C31" s="9" t="s">
        <v>11</v>
      </c>
    </row>
    <row r="32" spans="1:3" ht="15" customHeight="1" x14ac:dyDescent="0.3">
      <c r="A32" s="17"/>
      <c r="B32" s="43"/>
      <c r="C32" s="9" t="s">
        <v>12</v>
      </c>
    </row>
    <row r="33" spans="1:9" ht="15" customHeight="1" x14ac:dyDescent="0.3">
      <c r="A33" s="17"/>
      <c r="B33" s="43"/>
      <c r="C33" s="9" t="s">
        <v>13</v>
      </c>
      <c r="D33" s="43"/>
      <c r="E33" s="43"/>
      <c r="F33" s="44"/>
      <c r="G33" s="43"/>
      <c r="H33" s="43"/>
      <c r="I33" s="43"/>
    </row>
    <row r="34" spans="1:9" ht="15" customHeight="1" x14ac:dyDescent="0.3">
      <c r="A34" s="17"/>
      <c r="B34" s="43"/>
      <c r="C34" s="9" t="s">
        <v>14</v>
      </c>
      <c r="D34" s="43"/>
      <c r="E34" s="43"/>
      <c r="F34" s="44"/>
      <c r="G34" s="43"/>
      <c r="H34" s="43"/>
      <c r="I34" s="43"/>
    </row>
    <row r="35" spans="1:9" ht="15" customHeight="1" x14ac:dyDescent="0.3">
      <c r="A35" s="17"/>
      <c r="B35" s="43"/>
      <c r="C35" s="9" t="s">
        <v>15</v>
      </c>
      <c r="D35" s="43"/>
      <c r="E35" s="43"/>
      <c r="F35" s="44"/>
      <c r="G35" s="43"/>
      <c r="H35" s="43"/>
      <c r="I35" s="43"/>
    </row>
    <row r="36" spans="1:9" x14ac:dyDescent="0.3">
      <c r="A36" s="17"/>
      <c r="B36" s="43"/>
      <c r="D36" s="43"/>
      <c r="E36" s="43"/>
      <c r="F36" s="44"/>
      <c r="G36" s="43"/>
      <c r="H36" s="43"/>
      <c r="I36" s="43"/>
    </row>
    <row r="41" spans="1:9" ht="15" customHeight="1" x14ac:dyDescent="0.3">
      <c r="B41" s="43"/>
      <c r="C41" s="9" t="s">
        <v>18</v>
      </c>
      <c r="D41" s="43"/>
      <c r="E41" s="43"/>
      <c r="F41" s="44"/>
      <c r="G41" s="43"/>
      <c r="H41" s="43"/>
      <c r="I41" s="43"/>
    </row>
    <row r="42" spans="1:9" ht="15" customHeight="1" x14ac:dyDescent="0.3">
      <c r="B42" s="43"/>
      <c r="C42" s="9" t="s">
        <v>25</v>
      </c>
      <c r="D42" s="43"/>
      <c r="E42" s="43"/>
      <c r="F42" s="44"/>
      <c r="G42" s="43"/>
      <c r="H42" s="43"/>
      <c r="I42" s="43"/>
    </row>
    <row r="43" spans="1:9" ht="15" customHeight="1" x14ac:dyDescent="0.3">
      <c r="B43" s="43"/>
      <c r="C43" s="9" t="s">
        <v>19</v>
      </c>
      <c r="D43" s="43"/>
      <c r="E43" s="43"/>
      <c r="F43" s="44"/>
      <c r="G43" s="43"/>
      <c r="H43" s="43"/>
      <c r="I43" s="43"/>
    </row>
    <row r="44" spans="1:9" ht="15" customHeight="1" x14ac:dyDescent="0.3">
      <c r="B44" s="43"/>
      <c r="C44" s="9" t="s">
        <v>20</v>
      </c>
      <c r="D44" s="43"/>
      <c r="E44" s="43"/>
      <c r="F44" s="44"/>
      <c r="G44" s="43"/>
      <c r="H44" s="43"/>
      <c r="I44" s="43"/>
    </row>
    <row r="45" spans="1:9" ht="15" customHeight="1" x14ac:dyDescent="0.3">
      <c r="B45" s="43"/>
      <c r="C45" s="9" t="s">
        <v>21</v>
      </c>
      <c r="D45" s="43"/>
      <c r="E45" s="43"/>
      <c r="F45" s="44"/>
      <c r="G45" s="43"/>
      <c r="H45" s="43"/>
      <c r="I45" s="43"/>
    </row>
    <row r="46" spans="1:9" ht="15" customHeight="1" x14ac:dyDescent="0.3">
      <c r="B46" s="43"/>
      <c r="C46" s="9" t="s">
        <v>22</v>
      </c>
      <c r="D46" s="43"/>
      <c r="E46" s="43"/>
      <c r="F46" s="44"/>
      <c r="G46" s="43"/>
      <c r="H46" s="43"/>
      <c r="I46" s="43"/>
    </row>
  </sheetData>
  <hyperlinks>
    <hyperlink ref="C42" r:id="rId1" tooltip="Select to learn all about the SUM function from the web" xr:uid="{00000000-0004-0000-0300-000000000000}"/>
    <hyperlink ref="C43" r:id="rId2" tooltip="Select to learn all about the SUMIF function from the web" xr:uid="{00000000-0004-0000-0300-000001000000}"/>
    <hyperlink ref="C44" r:id="rId3" tooltip="Select to learn how to use Excel as a calculator from the web" xr:uid="{00000000-0004-0000-0300-000002000000}"/>
    <hyperlink ref="C45" r:id="rId4" tooltip="Select to learn an overview of Free Excel training online from the web" xr:uid="{00000000-0004-0000-0300-000003000000}"/>
  </hyperlinks>
  <pageMargins left="0.7" right="0.7" top="0.75" bottom="0.75" header="0.3" footer="0.3"/>
  <pageSetup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H44"/>
  <sheetViews>
    <sheetView showGridLines="0" topLeftCell="A35" workbookViewId="0"/>
  </sheetViews>
  <sheetFormatPr baseColWidth="10" defaultColWidth="8.88671875" defaultRowHeight="14.4" x14ac:dyDescent="0.3"/>
  <cols>
    <col min="1" max="1" width="12.6640625" style="18" customWidth="1"/>
    <col min="2" max="2" width="82.88671875" style="1" customWidth="1"/>
    <col min="3" max="3" width="13.33203125" style="1" customWidth="1"/>
    <col min="4" max="4" width="13.33203125" style="4" customWidth="1"/>
    <col min="5" max="5" width="2.33203125" style="1" customWidth="1"/>
    <col min="6" max="7" width="13.33203125" style="1" customWidth="1"/>
    <col min="8" max="16384" width="8.88671875" style="1"/>
  </cols>
  <sheetData>
    <row r="1" spans="1:8" ht="60" customHeight="1" x14ac:dyDescent="0.3">
      <c r="A1" s="18" t="s">
        <v>26</v>
      </c>
      <c r="B1" s="43"/>
      <c r="C1" s="76"/>
      <c r="D1" s="88"/>
      <c r="E1" s="88"/>
      <c r="F1" s="88"/>
      <c r="G1" s="88"/>
      <c r="H1" s="43"/>
    </row>
    <row r="2" spans="1:8" ht="15" customHeight="1" x14ac:dyDescent="0.3">
      <c r="A2" s="16" t="s">
        <v>27</v>
      </c>
      <c r="B2" s="43"/>
      <c r="C2" s="7" t="s">
        <v>1</v>
      </c>
      <c r="D2" s="8" t="s">
        <v>291</v>
      </c>
      <c r="E2" s="45"/>
      <c r="F2" s="11" t="s">
        <v>272</v>
      </c>
      <c r="G2" s="8" t="s">
        <v>291</v>
      </c>
      <c r="H2" s="5"/>
    </row>
    <row r="3" spans="1:8" ht="15" customHeight="1" x14ac:dyDescent="0.3">
      <c r="A3" s="16" t="s">
        <v>28</v>
      </c>
      <c r="B3" s="43"/>
      <c r="C3" s="128" t="s">
        <v>275</v>
      </c>
      <c r="D3" s="113">
        <v>50</v>
      </c>
      <c r="E3" s="45"/>
      <c r="F3" s="128" t="s">
        <v>278</v>
      </c>
      <c r="G3" s="113">
        <v>50</v>
      </c>
      <c r="H3" s="5"/>
    </row>
    <row r="4" spans="1:8" ht="15" customHeight="1" x14ac:dyDescent="0.3">
      <c r="A4" s="96" t="s">
        <v>133</v>
      </c>
      <c r="B4" s="43"/>
      <c r="C4" s="108" t="s">
        <v>4</v>
      </c>
      <c r="D4" s="113">
        <v>20</v>
      </c>
      <c r="E4" s="45"/>
      <c r="F4" s="128" t="s">
        <v>279</v>
      </c>
      <c r="G4" s="113">
        <v>30</v>
      </c>
      <c r="H4" s="5"/>
    </row>
    <row r="5" spans="1:8" s="4" customFormat="1" ht="15" customHeight="1" x14ac:dyDescent="0.3">
      <c r="A5" s="96" t="s">
        <v>134</v>
      </c>
      <c r="B5" s="44"/>
      <c r="C5" s="128" t="s">
        <v>276</v>
      </c>
      <c r="D5" s="113">
        <v>60</v>
      </c>
      <c r="E5" s="45"/>
      <c r="F5" s="128" t="s">
        <v>280</v>
      </c>
      <c r="G5" s="113">
        <v>10</v>
      </c>
      <c r="H5" s="5"/>
    </row>
    <row r="6" spans="1:8" s="4" customFormat="1" ht="15" customHeight="1" x14ac:dyDescent="0.3">
      <c r="A6" s="96" t="s">
        <v>135</v>
      </c>
      <c r="B6" s="44"/>
      <c r="C6" s="128" t="s">
        <v>277</v>
      </c>
      <c r="D6" s="113">
        <v>40</v>
      </c>
      <c r="E6" s="45"/>
      <c r="F6" s="128" t="s">
        <v>281</v>
      </c>
      <c r="G6" s="113">
        <v>50</v>
      </c>
      <c r="H6" s="5"/>
    </row>
    <row r="7" spans="1:8" s="4" customFormat="1" ht="15" customHeight="1" x14ac:dyDescent="0.3">
      <c r="A7" s="97" t="s">
        <v>23</v>
      </c>
      <c r="B7" s="44"/>
      <c r="C7" s="10" t="s">
        <v>249</v>
      </c>
      <c r="D7" s="111"/>
      <c r="E7" s="45"/>
      <c r="F7" s="10" t="s">
        <v>250</v>
      </c>
      <c r="G7" s="111"/>
      <c r="H7" s="5"/>
    </row>
    <row r="8" spans="1:8" s="4" customFormat="1" ht="15" customHeight="1" x14ac:dyDescent="0.3">
      <c r="A8" s="17" t="s">
        <v>136</v>
      </c>
      <c r="B8" s="44"/>
      <c r="C8" s="44"/>
      <c r="D8" s="45"/>
      <c r="E8" s="45"/>
      <c r="F8" s="44"/>
      <c r="G8" s="45"/>
      <c r="H8" s="5"/>
    </row>
    <row r="9" spans="1:8" s="4" customFormat="1" ht="15" customHeight="1" x14ac:dyDescent="0.3">
      <c r="A9" s="17" t="s">
        <v>137</v>
      </c>
      <c r="B9" s="44"/>
      <c r="C9" s="7" t="s">
        <v>274</v>
      </c>
      <c r="D9" s="8" t="s">
        <v>2</v>
      </c>
      <c r="E9" s="45"/>
      <c r="F9" s="7" t="s">
        <v>274</v>
      </c>
      <c r="G9" s="8" t="s">
        <v>2</v>
      </c>
      <c r="H9" s="5"/>
    </row>
    <row r="10" spans="1:8" s="4" customFormat="1" ht="15" customHeight="1" x14ac:dyDescent="0.3">
      <c r="A10" s="16" t="s">
        <v>21</v>
      </c>
      <c r="B10" s="44"/>
      <c r="C10" s="128" t="s">
        <v>282</v>
      </c>
      <c r="D10" s="113">
        <v>50</v>
      </c>
      <c r="E10" s="45"/>
      <c r="F10" s="128" t="s">
        <v>282</v>
      </c>
      <c r="G10" s="113">
        <v>50</v>
      </c>
      <c r="H10" s="5"/>
    </row>
    <row r="11" spans="1:8" s="4" customFormat="1" ht="15" customHeight="1" x14ac:dyDescent="0.3">
      <c r="A11" s="97" t="s">
        <v>227</v>
      </c>
      <c r="B11" s="44"/>
      <c r="C11" s="128" t="s">
        <v>285</v>
      </c>
      <c r="D11" s="113">
        <v>100</v>
      </c>
      <c r="E11" s="45"/>
      <c r="F11" s="128" t="s">
        <v>285</v>
      </c>
      <c r="G11" s="113">
        <v>100</v>
      </c>
      <c r="H11" s="5"/>
    </row>
    <row r="12" spans="1:8" s="4" customFormat="1" ht="15" customHeight="1" x14ac:dyDescent="0.3">
      <c r="A12" s="17"/>
      <c r="B12" s="44"/>
      <c r="C12" s="108" t="s">
        <v>8</v>
      </c>
      <c r="D12" s="113">
        <v>40</v>
      </c>
      <c r="E12" s="45"/>
      <c r="F12" s="108" t="s">
        <v>8</v>
      </c>
      <c r="G12" s="113">
        <v>40</v>
      </c>
      <c r="H12" s="5"/>
    </row>
    <row r="13" spans="1:8" s="4" customFormat="1" ht="15" customHeight="1" x14ac:dyDescent="0.3">
      <c r="A13" s="17"/>
      <c r="B13" s="44"/>
      <c r="C13" s="128" t="s">
        <v>284</v>
      </c>
      <c r="D13" s="113">
        <v>50</v>
      </c>
      <c r="E13" s="45"/>
      <c r="F13" s="128" t="s">
        <v>284</v>
      </c>
      <c r="G13" s="113">
        <v>50</v>
      </c>
      <c r="H13" s="5"/>
    </row>
    <row r="14" spans="1:8" s="4" customFormat="1" ht="15" customHeight="1" x14ac:dyDescent="0.3">
      <c r="A14" s="17"/>
      <c r="B14" s="44"/>
      <c r="C14" s="128" t="s">
        <v>283</v>
      </c>
      <c r="D14" s="113">
        <v>20</v>
      </c>
      <c r="E14" s="45"/>
      <c r="F14" s="128" t="s">
        <v>283</v>
      </c>
      <c r="G14" s="113">
        <v>20</v>
      </c>
      <c r="H14" s="44"/>
    </row>
    <row r="15" spans="1:8" s="4" customFormat="1" ht="15" customHeight="1" x14ac:dyDescent="0.3">
      <c r="A15" s="18"/>
      <c r="B15" s="44"/>
      <c r="C15" s="10" t="s">
        <v>251</v>
      </c>
      <c r="D15" s="111"/>
      <c r="E15" s="45"/>
      <c r="F15" s="10"/>
      <c r="G15" s="111">
        <f>MIN(G10:G14,10)</f>
        <v>10</v>
      </c>
      <c r="H15" s="44"/>
    </row>
    <row r="16" spans="1:8" s="4" customFormat="1" ht="15" customHeight="1" x14ac:dyDescent="0.3">
      <c r="A16" s="18"/>
      <c r="B16" s="44"/>
      <c r="C16" s="44"/>
      <c r="D16" s="44"/>
      <c r="E16" s="44"/>
      <c r="F16" s="44"/>
      <c r="G16" s="44"/>
      <c r="H16" s="44"/>
    </row>
    <row r="17" spans="1:1" s="4" customFormat="1" ht="15" customHeight="1" x14ac:dyDescent="0.3">
      <c r="A17" s="18"/>
    </row>
    <row r="18" spans="1:1" s="4" customFormat="1" ht="15" customHeight="1" x14ac:dyDescent="0.3">
      <c r="A18" s="19"/>
    </row>
    <row r="19" spans="1:1" s="4" customFormat="1" ht="15" customHeight="1" x14ac:dyDescent="0.3">
      <c r="A19" s="16" t="s">
        <v>29</v>
      </c>
    </row>
    <row r="20" spans="1:1" s="4" customFormat="1" ht="15" customHeight="1" x14ac:dyDescent="0.3">
      <c r="A20" s="18"/>
    </row>
    <row r="21" spans="1:1" s="4" customFormat="1" ht="15" customHeight="1" x14ac:dyDescent="0.3">
      <c r="A21" s="16" t="s">
        <v>18</v>
      </c>
    </row>
    <row r="22" spans="1:1" s="4" customFormat="1" ht="15" customHeight="1" x14ac:dyDescent="0.3">
      <c r="A22" s="16" t="s">
        <v>30</v>
      </c>
    </row>
    <row r="23" spans="1:1" s="4" customFormat="1" ht="15" customHeight="1" x14ac:dyDescent="0.3">
      <c r="A23" s="16" t="s">
        <v>31</v>
      </c>
    </row>
    <row r="24" spans="1:1" s="4" customFormat="1" ht="15" customHeight="1" x14ac:dyDescent="0.3">
      <c r="A24" s="16" t="s">
        <v>20</v>
      </c>
    </row>
    <row r="25" spans="1:1" s="4" customFormat="1" ht="15" customHeight="1" x14ac:dyDescent="0.3">
      <c r="A25" s="16" t="s">
        <v>21</v>
      </c>
    </row>
    <row r="27" spans="1:1" ht="15" customHeight="1" x14ac:dyDescent="0.3"/>
    <row r="28" spans="1:1" ht="15" customHeight="1" x14ac:dyDescent="0.3"/>
    <row r="29" spans="1:1" ht="15" customHeight="1" x14ac:dyDescent="0.3"/>
    <row r="30" spans="1:1" ht="15" customHeight="1" x14ac:dyDescent="0.3"/>
    <row r="31" spans="1:1" ht="15" customHeight="1" x14ac:dyDescent="0.3"/>
    <row r="32" spans="1:1" ht="15" customHeight="1" x14ac:dyDescent="0.3"/>
    <row r="33" spans="3:7" ht="15" customHeight="1" x14ac:dyDescent="0.3">
      <c r="C33" s="43"/>
      <c r="D33" s="44"/>
      <c r="E33" s="43"/>
      <c r="F33" s="43"/>
      <c r="G33" s="43"/>
    </row>
    <row r="39" spans="3:7" ht="15" customHeight="1" x14ac:dyDescent="0.3">
      <c r="C39" s="43"/>
      <c r="D39" s="44"/>
      <c r="E39" s="43"/>
      <c r="F39" s="43"/>
      <c r="G39" s="43"/>
    </row>
    <row r="40" spans="3:7" ht="15" customHeight="1" x14ac:dyDescent="0.3">
      <c r="C40" s="43"/>
      <c r="D40" s="44"/>
      <c r="E40" s="43"/>
      <c r="F40" s="43"/>
      <c r="G40" s="43"/>
    </row>
    <row r="41" spans="3:7" ht="15" customHeight="1" x14ac:dyDescent="0.3">
      <c r="C41" s="43"/>
      <c r="D41" s="44"/>
      <c r="E41" s="43"/>
      <c r="F41" s="43"/>
      <c r="G41" s="43"/>
    </row>
    <row r="42" spans="3:7" ht="15" customHeight="1" x14ac:dyDescent="0.3">
      <c r="C42" s="43"/>
      <c r="D42" s="44"/>
      <c r="E42" s="43"/>
      <c r="F42" s="43"/>
      <c r="G42" s="43"/>
    </row>
    <row r="43" spans="3:7" ht="15" customHeight="1" x14ac:dyDescent="0.3">
      <c r="C43" s="43"/>
      <c r="D43" s="44"/>
      <c r="E43" s="43"/>
      <c r="F43" s="43"/>
      <c r="G43" s="43"/>
    </row>
    <row r="44" spans="3:7" ht="15" customHeight="1" x14ac:dyDescent="0.3">
      <c r="C44" s="43"/>
      <c r="D44" s="44"/>
      <c r="E44" s="43"/>
      <c r="F44" s="43"/>
      <c r="G44" s="43"/>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F47"/>
  <sheetViews>
    <sheetView showGridLines="0" showZeros="0" topLeftCell="A58" workbookViewId="0">
      <selection activeCell="H42" sqref="H42"/>
    </sheetView>
  </sheetViews>
  <sheetFormatPr baseColWidth="10" defaultColWidth="8.88671875" defaultRowHeight="14.4" x14ac:dyDescent="0.3"/>
  <cols>
    <col min="1" max="1" width="12.6640625" customWidth="1"/>
    <col min="2" max="2" width="82.88671875" customWidth="1"/>
    <col min="3" max="3" width="25" customWidth="1"/>
    <col min="4" max="4" width="15.109375" customWidth="1"/>
  </cols>
  <sheetData>
    <row r="1" spans="1:6" ht="60" customHeight="1" x14ac:dyDescent="0.3">
      <c r="A1" s="29" t="s">
        <v>59</v>
      </c>
    </row>
    <row r="2" spans="1:6" x14ac:dyDescent="0.3">
      <c r="A2" s="29" t="s">
        <v>138</v>
      </c>
    </row>
    <row r="3" spans="1:6" ht="32.4" x14ac:dyDescent="0.3">
      <c r="A3" s="29" t="s">
        <v>139</v>
      </c>
      <c r="C3" s="76"/>
      <c r="D3" s="89"/>
    </row>
    <row r="4" spans="1:6" x14ac:dyDescent="0.3">
      <c r="A4" s="29" t="s">
        <v>140</v>
      </c>
    </row>
    <row r="5" spans="1:6" x14ac:dyDescent="0.3">
      <c r="A5" s="29" t="s">
        <v>141</v>
      </c>
      <c r="C5" s="32" t="s">
        <v>59</v>
      </c>
      <c r="D5" s="32"/>
    </row>
    <row r="6" spans="1:6" ht="16.5" customHeight="1" x14ac:dyDescent="0.4">
      <c r="A6" s="29" t="s">
        <v>142</v>
      </c>
      <c r="C6" s="129" t="s">
        <v>292</v>
      </c>
      <c r="D6" s="114"/>
      <c r="F6" s="98" t="str">
        <f ca="1">IF(D6=TODAY(),"You got it!","")</f>
        <v/>
      </c>
    </row>
    <row r="7" spans="1:6" ht="16.5" customHeight="1" thickBot="1" x14ac:dyDescent="0.35">
      <c r="A7" s="31" t="s">
        <v>229</v>
      </c>
      <c r="C7" s="129" t="s">
        <v>293</v>
      </c>
      <c r="D7" s="114"/>
    </row>
    <row r="8" spans="1:6" ht="16.5" customHeight="1" thickTop="1" thickBot="1" x14ac:dyDescent="0.35">
      <c r="A8" s="29" t="s">
        <v>60</v>
      </c>
      <c r="C8" s="129" t="s">
        <v>294</v>
      </c>
      <c r="D8" s="115">
        <f>D7-D6</f>
        <v>0</v>
      </c>
    </row>
    <row r="9" spans="1:6" ht="15" thickTop="1" x14ac:dyDescent="0.3">
      <c r="A9" s="29" t="s">
        <v>143</v>
      </c>
    </row>
    <row r="10" spans="1:6" ht="15" customHeight="1" thickBot="1" x14ac:dyDescent="0.35">
      <c r="A10" s="31" t="s">
        <v>261</v>
      </c>
      <c r="C10" s="129" t="s">
        <v>296</v>
      </c>
      <c r="D10" s="116"/>
    </row>
    <row r="11" spans="1:6" ht="15" customHeight="1" thickTop="1" thickBot="1" x14ac:dyDescent="0.35">
      <c r="A11" s="31" t="s">
        <v>262</v>
      </c>
      <c r="C11" s="129" t="s">
        <v>295</v>
      </c>
      <c r="D11" s="117">
        <f>D6+D10</f>
        <v>0</v>
      </c>
    </row>
    <row r="12" spans="1:6" ht="15" thickTop="1" x14ac:dyDescent="0.3">
      <c r="A12" s="29" t="s">
        <v>228</v>
      </c>
    </row>
    <row r="13" spans="1:6" x14ac:dyDescent="0.3">
      <c r="A13" s="29" t="s">
        <v>100</v>
      </c>
    </row>
    <row r="14" spans="1:6" x14ac:dyDescent="0.3">
      <c r="A14" s="29" t="s">
        <v>101</v>
      </c>
    </row>
    <row r="15" spans="1:6" x14ac:dyDescent="0.3">
      <c r="A15" s="29" t="s">
        <v>18</v>
      </c>
    </row>
    <row r="16" spans="1:6" x14ac:dyDescent="0.3">
      <c r="A16" s="29" t="s">
        <v>144</v>
      </c>
    </row>
    <row r="17" spans="1:4" x14ac:dyDescent="0.3">
      <c r="A17" s="29" t="s">
        <v>145</v>
      </c>
    </row>
    <row r="18" spans="1:4" x14ac:dyDescent="0.3">
      <c r="A18" s="29" t="s">
        <v>146</v>
      </c>
    </row>
    <row r="19" spans="1:4" x14ac:dyDescent="0.3">
      <c r="A19" s="29" t="s">
        <v>21</v>
      </c>
    </row>
    <row r="25" spans="1:4" ht="15" customHeight="1" x14ac:dyDescent="0.3">
      <c r="C25" s="76"/>
      <c r="D25" s="89"/>
    </row>
    <row r="27" spans="1:4" x14ac:dyDescent="0.3">
      <c r="C27" s="32" t="s">
        <v>60</v>
      </c>
      <c r="D27" s="32"/>
    </row>
    <row r="28" spans="1:4" x14ac:dyDescent="0.3">
      <c r="C28" s="130" t="s">
        <v>297</v>
      </c>
      <c r="D28" s="118"/>
    </row>
    <row r="31" spans="1:4" x14ac:dyDescent="0.3">
      <c r="C31" s="32" t="s">
        <v>61</v>
      </c>
      <c r="D31" s="32"/>
    </row>
    <row r="32" spans="1:4" x14ac:dyDescent="0.3">
      <c r="C32" s="130" t="s">
        <v>298</v>
      </c>
      <c r="D32" s="119">
        <v>0.33333333333333331</v>
      </c>
    </row>
    <row r="33" spans="3:4" x14ac:dyDescent="0.3">
      <c r="C33" s="130" t="s">
        <v>299</v>
      </c>
      <c r="D33" s="119">
        <v>0.5</v>
      </c>
    </row>
    <row r="34" spans="3:4" x14ac:dyDescent="0.3">
      <c r="C34" s="130" t="s">
        <v>300</v>
      </c>
      <c r="D34" s="119">
        <v>0.54166666666666663</v>
      </c>
    </row>
    <row r="35" spans="3:4" ht="15" thickBot="1" x14ac:dyDescent="0.35">
      <c r="C35" s="130" t="s">
        <v>301</v>
      </c>
      <c r="D35" s="119">
        <v>0.70833333333333337</v>
      </c>
    </row>
    <row r="36" spans="3:4" ht="15.6" thickTop="1" thickBot="1" x14ac:dyDescent="0.35">
      <c r="C36" s="130" t="s">
        <v>302</v>
      </c>
      <c r="D36" s="115">
        <f>((D35-D32)-(D34-D33))*24</f>
        <v>8.0000000000000018</v>
      </c>
    </row>
    <row r="37" spans="3:4" ht="15" thickTop="1" x14ac:dyDescent="0.3"/>
    <row r="45" spans="3:4" x14ac:dyDescent="0.3">
      <c r="C45" s="32" t="s">
        <v>62</v>
      </c>
      <c r="D45" s="32"/>
    </row>
    <row r="46" spans="3:4" x14ac:dyDescent="0.3">
      <c r="C46" s="120" t="s">
        <v>63</v>
      </c>
      <c r="D46" s="121">
        <v>45901</v>
      </c>
    </row>
    <row r="47" spans="3:4" x14ac:dyDescent="0.3">
      <c r="C47" s="130" t="s">
        <v>303</v>
      </c>
      <c r="D47" s="122">
        <v>0.47638888888888886</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37"/>
  <sheetViews>
    <sheetView showGridLines="0" topLeftCell="A30" zoomScaleNormal="100" workbookViewId="0">
      <selection activeCell="E59" sqref="E59"/>
    </sheetView>
  </sheetViews>
  <sheetFormatPr baseColWidth="10" defaultColWidth="8.88671875" defaultRowHeight="14.4" x14ac:dyDescent="0.3"/>
  <cols>
    <col min="1" max="1" width="12.6640625" style="29" customWidth="1"/>
    <col min="2" max="2" width="82.88671875" customWidth="1"/>
    <col min="3" max="3" width="26.77734375" customWidth="1"/>
    <col min="4" max="4" width="20.88671875" customWidth="1"/>
    <col min="5" max="5" width="21" bestFit="1" customWidth="1"/>
    <col min="6" max="6" width="18.33203125" customWidth="1"/>
  </cols>
  <sheetData>
    <row r="1" spans="1:6" ht="60" customHeight="1" x14ac:dyDescent="0.3">
      <c r="A1" s="29" t="s">
        <v>147</v>
      </c>
      <c r="C1" s="76"/>
      <c r="D1" s="89"/>
      <c r="E1" s="89"/>
      <c r="F1" s="89"/>
    </row>
    <row r="2" spans="1:6" x14ac:dyDescent="0.3">
      <c r="A2" s="29" t="s">
        <v>148</v>
      </c>
      <c r="C2" s="7" t="s">
        <v>304</v>
      </c>
      <c r="D2" s="7" t="s">
        <v>305</v>
      </c>
      <c r="E2" s="7" t="s">
        <v>306</v>
      </c>
      <c r="F2" s="7" t="s">
        <v>307</v>
      </c>
    </row>
    <row r="3" spans="1:6" x14ac:dyDescent="0.3">
      <c r="A3" s="29" t="s">
        <v>149</v>
      </c>
      <c r="C3" s="105" t="s">
        <v>64</v>
      </c>
      <c r="D3" s="105" t="s">
        <v>65</v>
      </c>
      <c r="E3" s="116" t="str">
        <f>D3&amp;", "&amp;C3</f>
        <v>Smith, Nancy</v>
      </c>
      <c r="F3" s="61" t="str">
        <f>C3&amp;" "&amp;D3</f>
        <v>Nancy Smith</v>
      </c>
    </row>
    <row r="4" spans="1:6" x14ac:dyDescent="0.3">
      <c r="A4" s="29" t="s">
        <v>150</v>
      </c>
      <c r="C4" s="105" t="s">
        <v>66</v>
      </c>
      <c r="D4" s="105" t="s">
        <v>67</v>
      </c>
      <c r="E4" s="116"/>
      <c r="F4" s="61"/>
    </row>
    <row r="5" spans="1:6" x14ac:dyDescent="0.3">
      <c r="A5" s="29" t="s">
        <v>151</v>
      </c>
      <c r="C5" s="105" t="s">
        <v>68</v>
      </c>
      <c r="D5" s="105" t="s">
        <v>69</v>
      </c>
      <c r="E5" s="116"/>
      <c r="F5" s="61"/>
    </row>
    <row r="6" spans="1:6" x14ac:dyDescent="0.3">
      <c r="A6" s="29" t="s">
        <v>90</v>
      </c>
      <c r="C6" s="105" t="s">
        <v>70</v>
      </c>
      <c r="D6" s="105" t="s">
        <v>71</v>
      </c>
      <c r="E6" s="116"/>
      <c r="F6" s="61"/>
    </row>
    <row r="7" spans="1:6" x14ac:dyDescent="0.3">
      <c r="A7" s="29" t="s">
        <v>101</v>
      </c>
      <c r="C7" s="105" t="s">
        <v>72</v>
      </c>
      <c r="D7" s="105" t="s">
        <v>73</v>
      </c>
      <c r="E7" s="116"/>
      <c r="F7" s="61"/>
    </row>
    <row r="8" spans="1:6" x14ac:dyDescent="0.3">
      <c r="A8" s="29" t="s">
        <v>41</v>
      </c>
      <c r="C8" s="105" t="s">
        <v>74</v>
      </c>
      <c r="D8" s="105" t="s">
        <v>75</v>
      </c>
      <c r="E8" s="116"/>
      <c r="F8" s="61"/>
    </row>
    <row r="9" spans="1:6" x14ac:dyDescent="0.3">
      <c r="A9" s="29" t="s">
        <v>152</v>
      </c>
      <c r="C9" s="105" t="s">
        <v>76</v>
      </c>
      <c r="D9" s="105" t="s">
        <v>77</v>
      </c>
      <c r="E9" s="116"/>
      <c r="F9" s="61"/>
    </row>
    <row r="10" spans="1:6" x14ac:dyDescent="0.3">
      <c r="A10" s="29" t="s">
        <v>153</v>
      </c>
      <c r="C10" s="105" t="s">
        <v>78</v>
      </c>
      <c r="D10" s="105" t="s">
        <v>79</v>
      </c>
      <c r="E10" s="116"/>
      <c r="F10" s="61"/>
    </row>
    <row r="11" spans="1:6" x14ac:dyDescent="0.3">
      <c r="A11" s="29" t="s">
        <v>154</v>
      </c>
    </row>
    <row r="12" spans="1:6" x14ac:dyDescent="0.3">
      <c r="A12" s="29" t="s">
        <v>155</v>
      </c>
    </row>
    <row r="13" spans="1:6" x14ac:dyDescent="0.3">
      <c r="A13" s="29" t="s">
        <v>263</v>
      </c>
    </row>
    <row r="14" spans="1:6" x14ac:dyDescent="0.3">
      <c r="A14" s="29" t="s">
        <v>18</v>
      </c>
    </row>
    <row r="15" spans="1:6" x14ac:dyDescent="0.3">
      <c r="A15" s="29" t="s">
        <v>156</v>
      </c>
    </row>
    <row r="16" spans="1:6" x14ac:dyDescent="0.3">
      <c r="A16" s="29" t="s">
        <v>157</v>
      </c>
    </row>
    <row r="17" spans="1:4" x14ac:dyDescent="0.3">
      <c r="A17" s="29" t="s">
        <v>21</v>
      </c>
    </row>
    <row r="21" spans="1:4" x14ac:dyDescent="0.3">
      <c r="D21" s="12"/>
    </row>
    <row r="27" spans="1:4" x14ac:dyDescent="0.3">
      <c r="C27" s="32" t="s">
        <v>308</v>
      </c>
      <c r="D27" s="32"/>
    </row>
    <row r="28" spans="1:4" x14ac:dyDescent="0.3">
      <c r="C28" s="131" t="s">
        <v>309</v>
      </c>
      <c r="D28" s="132">
        <f ca="1">TODAY()</f>
        <v>45910</v>
      </c>
    </row>
    <row r="29" spans="1:4" x14ac:dyDescent="0.3">
      <c r="C29" s="131" t="s">
        <v>297</v>
      </c>
      <c r="D29" s="133">
        <f ca="1">NOW()</f>
        <v>45910.691891898146</v>
      </c>
    </row>
    <row r="31" spans="1:4" x14ac:dyDescent="0.3">
      <c r="C31" s="32" t="s">
        <v>310</v>
      </c>
      <c r="D31" s="32"/>
    </row>
    <row r="32" spans="1:4" x14ac:dyDescent="0.3">
      <c r="C32" s="105" t="str">
        <f ca="1">C28&amp;" "&amp;D28</f>
        <v>Date du jour : 45910</v>
      </c>
      <c r="D32" s="105"/>
    </row>
    <row r="33" spans="3:4" x14ac:dyDescent="0.3">
      <c r="C33" s="105" t="str">
        <f ca="1">C29&amp;" "&amp;D29</f>
        <v>Heure actuelle : 45910,6918918981</v>
      </c>
      <c r="D33" s="105"/>
    </row>
    <row r="35" spans="3:4" x14ac:dyDescent="0.3">
      <c r="C35" s="32" t="s">
        <v>311</v>
      </c>
      <c r="D35" s="32"/>
    </row>
    <row r="36" spans="3:4" x14ac:dyDescent="0.3">
      <c r="C36" s="61" t="str">
        <f ca="1">C28&amp;" "&amp;TEXT(D28,"JJ/MM/AAAA")</f>
        <v>Date du jour : 10/09/2025</v>
      </c>
      <c r="D36" s="61"/>
    </row>
    <row r="37" spans="3:4" x14ac:dyDescent="0.3">
      <c r="C37" s="61" t="str">
        <f ca="1">C29&amp;" "&amp;TEXT(D29," hh:mm AM/PM ")</f>
        <v xml:space="preserve">Heure actuelle :  04:36 PM </v>
      </c>
      <c r="D37" s="61"/>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F37"/>
  <sheetViews>
    <sheetView showGridLines="0" topLeftCell="A59" workbookViewId="0">
      <selection activeCell="H22" sqref="H22"/>
    </sheetView>
  </sheetViews>
  <sheetFormatPr baseColWidth="10" defaultColWidth="8.88671875" defaultRowHeight="14.4" x14ac:dyDescent="0.3"/>
  <cols>
    <col min="1" max="1" width="12.6640625" customWidth="1"/>
    <col min="2" max="2" width="82.88671875" customWidth="1"/>
    <col min="3" max="3" width="17.109375" customWidth="1"/>
    <col min="4" max="4" width="26.109375" customWidth="1"/>
  </cols>
  <sheetData>
    <row r="1" spans="1:6" ht="60" customHeight="1" x14ac:dyDescent="0.3">
      <c r="A1" s="29" t="s">
        <v>42</v>
      </c>
      <c r="D1" s="89"/>
    </row>
    <row r="2" spans="1:6" x14ac:dyDescent="0.3">
      <c r="A2" s="29" t="s">
        <v>158</v>
      </c>
      <c r="E2" s="36"/>
      <c r="F2" s="36"/>
    </row>
    <row r="3" spans="1:6" ht="15" customHeight="1" x14ac:dyDescent="0.3">
      <c r="A3" s="31" t="s">
        <v>230</v>
      </c>
      <c r="E3" s="36"/>
      <c r="F3" s="36"/>
    </row>
    <row r="4" spans="1:6" ht="15" customHeight="1" x14ac:dyDescent="0.3">
      <c r="A4" s="31" t="s">
        <v>231</v>
      </c>
      <c r="E4" s="36"/>
      <c r="F4" s="36"/>
    </row>
    <row r="5" spans="1:6" ht="15" customHeight="1" x14ac:dyDescent="0.3">
      <c r="A5" s="31" t="s">
        <v>260</v>
      </c>
      <c r="C5" s="99"/>
      <c r="E5" s="36"/>
      <c r="F5" s="36"/>
    </row>
    <row r="6" spans="1:6" x14ac:dyDescent="0.3">
      <c r="A6" s="29" t="s">
        <v>159</v>
      </c>
      <c r="E6" s="36"/>
      <c r="F6" s="36"/>
    </row>
    <row r="7" spans="1:6" x14ac:dyDescent="0.3">
      <c r="A7" s="29" t="s">
        <v>90</v>
      </c>
      <c r="C7" s="36"/>
      <c r="D7" s="36"/>
      <c r="E7" s="36"/>
      <c r="F7" s="36"/>
    </row>
    <row r="8" spans="1:6" x14ac:dyDescent="0.3">
      <c r="A8" s="29" t="s">
        <v>101</v>
      </c>
      <c r="C8" s="35" t="s">
        <v>312</v>
      </c>
      <c r="D8" s="35"/>
    </row>
    <row r="9" spans="1:6" x14ac:dyDescent="0.3">
      <c r="A9" s="29" t="s">
        <v>160</v>
      </c>
      <c r="C9" s="134" t="s">
        <v>275</v>
      </c>
      <c r="D9" s="53"/>
    </row>
    <row r="10" spans="1:6" x14ac:dyDescent="0.3">
      <c r="A10" s="29" t="s">
        <v>161</v>
      </c>
      <c r="C10" s="123" t="s">
        <v>80</v>
      </c>
      <c r="D10" s="53"/>
    </row>
    <row r="11" spans="1:6" ht="15" customHeight="1" thickBot="1" x14ac:dyDescent="0.35">
      <c r="A11" s="31" t="s">
        <v>232</v>
      </c>
      <c r="C11" s="36"/>
      <c r="D11" s="36"/>
    </row>
    <row r="12" spans="1:6" ht="15" customHeight="1" thickTop="1" thickBot="1" x14ac:dyDescent="0.35">
      <c r="A12" s="31" t="s">
        <v>233</v>
      </c>
      <c r="C12" s="59">
        <v>50</v>
      </c>
      <c r="D12" s="53" t="str">
        <f>IF(C12&lt;100,"Moins de 100","Supérieur ou égal à 100")</f>
        <v>Moins de 100</v>
      </c>
    </row>
    <row r="13" spans="1:6" ht="15" customHeight="1" thickTop="1" x14ac:dyDescent="0.3">
      <c r="A13" s="31" t="s">
        <v>234</v>
      </c>
    </row>
    <row r="14" spans="1:6" x14ac:dyDescent="0.3">
      <c r="A14" s="29" t="s">
        <v>162</v>
      </c>
    </row>
    <row r="15" spans="1:6" ht="15" customHeight="1" x14ac:dyDescent="0.3">
      <c r="A15" s="31" t="s">
        <v>235</v>
      </c>
    </row>
    <row r="16" spans="1:6" x14ac:dyDescent="0.3">
      <c r="A16" s="29" t="s">
        <v>100</v>
      </c>
    </row>
    <row r="17" spans="1:6" x14ac:dyDescent="0.3">
      <c r="A17" s="29" t="s">
        <v>101</v>
      </c>
    </row>
    <row r="18" spans="1:6" x14ac:dyDescent="0.3">
      <c r="A18" s="29" t="s">
        <v>18</v>
      </c>
      <c r="C18" s="12"/>
    </row>
    <row r="19" spans="1:6" x14ac:dyDescent="0.3">
      <c r="A19" s="29" t="s">
        <v>163</v>
      </c>
    </row>
    <row r="20" spans="1:6" x14ac:dyDescent="0.3">
      <c r="A20" s="29" t="s">
        <v>164</v>
      </c>
    </row>
    <row r="21" spans="1:6" x14ac:dyDescent="0.3">
      <c r="A21" s="29" t="s">
        <v>165</v>
      </c>
    </row>
    <row r="22" spans="1:6" x14ac:dyDescent="0.3">
      <c r="A22" s="29" t="s">
        <v>21</v>
      </c>
    </row>
    <row r="26" spans="1:6" ht="15" thickBot="1" x14ac:dyDescent="0.35"/>
    <row r="27" spans="1:6" ht="15" thickBot="1" x14ac:dyDescent="0.35">
      <c r="C27" s="68" t="s">
        <v>313</v>
      </c>
      <c r="D27" s="69" t="s">
        <v>291</v>
      </c>
      <c r="E27" s="69" t="s">
        <v>315</v>
      </c>
      <c r="F27" s="69" t="s">
        <v>43</v>
      </c>
    </row>
    <row r="28" spans="1:6" x14ac:dyDescent="0.3">
      <c r="C28" s="70" t="s">
        <v>44</v>
      </c>
      <c r="D28" s="70">
        <v>2</v>
      </c>
      <c r="E28" s="135">
        <v>9.7607115856835538</v>
      </c>
      <c r="F28" s="135">
        <f>'Instruction SI'!$E$28:$E$29*'Instruction SI'!$D$28:$D$29</f>
        <v>19.521423171367108</v>
      </c>
    </row>
    <row r="29" spans="1:6" ht="15" thickBot="1" x14ac:dyDescent="0.35">
      <c r="C29" s="62" t="s">
        <v>314</v>
      </c>
      <c r="D29" s="62">
        <v>3</v>
      </c>
      <c r="E29" s="136">
        <v>3.4189202461080024</v>
      </c>
      <c r="F29" s="136">
        <f>'Instruction SI'!$E$28:$E$29*'Instruction SI'!$D$28:$D$29</f>
        <v>10.256760738324008</v>
      </c>
    </row>
    <row r="30" spans="1:6" x14ac:dyDescent="0.3">
      <c r="C30" s="36"/>
      <c r="D30" s="36"/>
      <c r="E30" s="36"/>
      <c r="F30" s="36"/>
    </row>
    <row r="31" spans="1:6" x14ac:dyDescent="0.3">
      <c r="C31" s="36"/>
      <c r="D31" s="36" t="s">
        <v>316</v>
      </c>
      <c r="E31" s="139">
        <f>SUM('Instruction SI'!$E$28:$E$29)</f>
        <v>13.179631831791557</v>
      </c>
      <c r="F31" s="139">
        <f>SUM('Instruction SI'!F28:F29)</f>
        <v>29.778183909691116</v>
      </c>
    </row>
    <row r="32" spans="1:6" ht="15" thickBot="1" x14ac:dyDescent="0.35">
      <c r="C32" s="36"/>
      <c r="D32" s="36"/>
      <c r="E32" s="36"/>
      <c r="F32" s="36"/>
    </row>
    <row r="33" spans="3:6" ht="15.6" thickTop="1" thickBot="1" x14ac:dyDescent="0.35">
      <c r="C33" s="36"/>
      <c r="D33" s="36" t="s">
        <v>318</v>
      </c>
      <c r="E33" s="59" t="s">
        <v>317</v>
      </c>
      <c r="F33" s="137">
        <f>IF(E33="Oui",F31*20%,0)</f>
        <v>5.9556367819382237</v>
      </c>
    </row>
    <row r="34" spans="3:6" ht="15.6" thickTop="1" thickBot="1" x14ac:dyDescent="0.35">
      <c r="C34" s="36"/>
      <c r="D34" s="36"/>
      <c r="E34" s="36"/>
      <c r="F34" s="36"/>
    </row>
    <row r="35" spans="3:6" ht="15.6" thickTop="1" thickBot="1" x14ac:dyDescent="0.35">
      <c r="C35" s="36"/>
      <c r="D35" s="36" t="s">
        <v>319</v>
      </c>
      <c r="E35" s="59" t="s">
        <v>317</v>
      </c>
      <c r="F35" s="138">
        <f>IF(E35="Oui",SUM(D28:D29)*Expédition,0)</f>
        <v>6.25</v>
      </c>
    </row>
    <row r="36" spans="3:6" ht="15" thickTop="1" x14ac:dyDescent="0.3"/>
    <row r="37" spans="3:6" x14ac:dyDescent="0.3">
      <c r="D37" s="36" t="s">
        <v>43</v>
      </c>
      <c r="E37" s="36"/>
      <c r="F37" s="139">
        <f>SUM(F33,F31,F35)</f>
        <v>41.98382069162934</v>
      </c>
    </row>
  </sheetData>
  <dataValidations count="1">
    <dataValidation type="list" allowBlank="1" showInputMessage="1" showErrorMessage="1" sqref="E33 E35" xr:uid="{8C40A500-EA15-4005-9030-593A7422CC19}">
      <formula1>"Oui,Non"</formula1>
    </dataValidation>
  </dataValidations>
  <hyperlinks>
    <hyperlink ref="M25" r:id="rId1" display="https://support.office.com/en-us/article/IF-function-69AED7C9-4E8A-4755-A9BC-AA8BBFF73BE2" xr:uid="{00000000-0004-0000-0700-000000000000}"/>
  </hyperlinks>
  <pageMargins left="0.7" right="0.7" top="0.75" bottom="0.75" header="0.3" footer="0.3"/>
  <pageSetup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L48"/>
  <sheetViews>
    <sheetView showGridLines="0" topLeftCell="A43" zoomScaleNormal="100" workbookViewId="0">
      <selection activeCell="C36" sqref="C36:C41"/>
    </sheetView>
  </sheetViews>
  <sheetFormatPr baseColWidth="10" defaultColWidth="8.88671875" defaultRowHeight="15" customHeight="1" x14ac:dyDescent="0.3"/>
  <cols>
    <col min="1" max="1" width="12.6640625" style="9" customWidth="1"/>
    <col min="2" max="2" width="82.88671875" style="1" customWidth="1"/>
    <col min="3" max="3" width="13.33203125" style="1" customWidth="1"/>
    <col min="4" max="4" width="13.33203125" style="4" customWidth="1"/>
    <col min="5" max="5" width="2.33203125" style="1" customWidth="1"/>
    <col min="6" max="7" width="13.33203125" style="1" customWidth="1"/>
    <col min="8" max="16384" width="8.88671875" style="1"/>
  </cols>
  <sheetData>
    <row r="1" spans="1:7" ht="60" customHeight="1" x14ac:dyDescent="0.3">
      <c r="A1" s="9" t="s">
        <v>45</v>
      </c>
      <c r="B1" s="43"/>
      <c r="D1" s="88"/>
      <c r="E1" s="88"/>
      <c r="F1" s="88"/>
      <c r="G1" s="88"/>
    </row>
    <row r="2" spans="1:7" ht="15" customHeight="1" x14ac:dyDescent="0.3">
      <c r="A2" s="9" t="s">
        <v>166</v>
      </c>
      <c r="B2" s="43"/>
    </row>
    <row r="3" spans="1:7" ht="15" customHeight="1" x14ac:dyDescent="0.3">
      <c r="A3" s="9" t="s">
        <v>167</v>
      </c>
      <c r="B3" s="43"/>
    </row>
    <row r="4" spans="1:7" ht="15" customHeight="1" x14ac:dyDescent="0.3">
      <c r="A4" s="9" t="s">
        <v>168</v>
      </c>
      <c r="B4" s="43"/>
    </row>
    <row r="5" spans="1:7" s="4" customFormat="1" ht="15" customHeight="1" x14ac:dyDescent="0.3">
      <c r="A5" s="26" t="s">
        <v>169</v>
      </c>
      <c r="B5" s="44"/>
    </row>
    <row r="6" spans="1:7" s="4" customFormat="1" ht="15" customHeight="1" x14ac:dyDescent="0.3">
      <c r="A6" s="26" t="s">
        <v>170</v>
      </c>
      <c r="B6" s="44"/>
    </row>
    <row r="7" spans="1:7" s="4" customFormat="1" ht="15" customHeight="1" x14ac:dyDescent="0.3">
      <c r="A7" s="26" t="s">
        <v>171</v>
      </c>
      <c r="B7" s="44"/>
    </row>
    <row r="8" spans="1:7" s="4" customFormat="1" ht="15" customHeight="1" x14ac:dyDescent="0.3">
      <c r="A8" s="95" t="s">
        <v>236</v>
      </c>
      <c r="B8" s="44"/>
    </row>
    <row r="9" spans="1:7" s="4" customFormat="1" ht="15" customHeight="1" x14ac:dyDescent="0.3">
      <c r="A9" s="95" t="s">
        <v>237</v>
      </c>
      <c r="B9" s="44"/>
    </row>
    <row r="10" spans="1:7" s="4" customFormat="1" ht="15" customHeight="1" x14ac:dyDescent="0.3">
      <c r="A10" s="26" t="s">
        <v>172</v>
      </c>
      <c r="B10" s="44"/>
    </row>
    <row r="11" spans="1:7" s="4" customFormat="1" ht="15" customHeight="1" x14ac:dyDescent="0.3">
      <c r="A11" s="26" t="s">
        <v>90</v>
      </c>
      <c r="B11" s="44"/>
    </row>
    <row r="12" spans="1:7" s="4" customFormat="1" ht="15" customHeight="1" x14ac:dyDescent="0.3">
      <c r="A12" s="26" t="s">
        <v>101</v>
      </c>
      <c r="B12" s="44"/>
    </row>
    <row r="13" spans="1:7" s="4" customFormat="1" ht="15" customHeight="1" x14ac:dyDescent="0.3">
      <c r="A13" s="26" t="s">
        <v>173</v>
      </c>
      <c r="B13" s="44"/>
      <c r="C13" s="99"/>
      <c r="D13" s="102"/>
      <c r="E13" s="102"/>
      <c r="F13" s="102"/>
      <c r="G13" s="102"/>
    </row>
    <row r="14" spans="1:7" s="4" customFormat="1" ht="15" customHeight="1" x14ac:dyDescent="0.3">
      <c r="A14" s="26" t="s">
        <v>174</v>
      </c>
      <c r="B14" s="44"/>
      <c r="C14" s="102"/>
      <c r="D14" s="102"/>
      <c r="E14" s="102"/>
      <c r="F14" s="102"/>
      <c r="G14" s="102"/>
    </row>
    <row r="15" spans="1:7" s="4" customFormat="1" ht="15" customHeight="1" x14ac:dyDescent="0.3">
      <c r="A15" s="95" t="s">
        <v>238</v>
      </c>
      <c r="B15" s="44"/>
    </row>
    <row r="16" spans="1:7" s="4" customFormat="1" ht="15" customHeight="1" x14ac:dyDescent="0.3">
      <c r="A16" s="31" t="s">
        <v>239</v>
      </c>
      <c r="B16" s="44"/>
      <c r="C16" s="37" t="s">
        <v>1</v>
      </c>
      <c r="D16" s="34" t="s">
        <v>291</v>
      </c>
      <c r="E16" s="25"/>
      <c r="F16" s="33" t="s">
        <v>272</v>
      </c>
      <c r="G16" s="34" t="s">
        <v>291</v>
      </c>
    </row>
    <row r="17" spans="1:12" s="4" customFormat="1" ht="15" customHeight="1" x14ac:dyDescent="0.3">
      <c r="A17" s="26" t="s">
        <v>175</v>
      </c>
      <c r="C17" s="140" t="s">
        <v>320</v>
      </c>
      <c r="D17" s="113">
        <v>50</v>
      </c>
      <c r="E17" s="45"/>
      <c r="F17" s="128" t="s">
        <v>278</v>
      </c>
      <c r="G17" s="113">
        <v>50</v>
      </c>
      <c r="H17" s="44"/>
      <c r="I17" s="44"/>
      <c r="J17" s="44"/>
      <c r="K17" s="44"/>
      <c r="L17" s="44"/>
    </row>
    <row r="18" spans="1:12" s="4" customFormat="1" ht="15" customHeight="1" x14ac:dyDescent="0.3">
      <c r="A18" s="26" t="s">
        <v>100</v>
      </c>
      <c r="C18" s="112" t="s">
        <v>4</v>
      </c>
      <c r="D18" s="113">
        <v>20</v>
      </c>
      <c r="E18" s="45"/>
      <c r="F18" s="128" t="s">
        <v>279</v>
      </c>
      <c r="G18" s="113">
        <v>30</v>
      </c>
      <c r="H18" s="44"/>
      <c r="I18" s="44"/>
      <c r="J18" s="44"/>
      <c r="K18" s="44"/>
      <c r="L18" s="44"/>
    </row>
    <row r="19" spans="1:12" s="4" customFormat="1" ht="15" customHeight="1" x14ac:dyDescent="0.3">
      <c r="A19" s="26" t="s">
        <v>101</v>
      </c>
      <c r="C19" s="140" t="s">
        <v>276</v>
      </c>
      <c r="D19" s="113">
        <v>60</v>
      </c>
      <c r="E19" s="45"/>
      <c r="F19" s="128" t="s">
        <v>280</v>
      </c>
      <c r="G19" s="113">
        <v>10</v>
      </c>
      <c r="H19" s="44"/>
      <c r="I19" s="44"/>
      <c r="J19" s="44"/>
      <c r="K19" s="44"/>
      <c r="L19" s="44"/>
    </row>
    <row r="20" spans="1:12" s="4" customFormat="1" ht="15" customHeight="1" x14ac:dyDescent="0.3">
      <c r="A20" s="26" t="s">
        <v>18</v>
      </c>
      <c r="C20" s="140" t="s">
        <v>277</v>
      </c>
      <c r="D20" s="113">
        <v>40</v>
      </c>
      <c r="E20" s="45"/>
      <c r="F20" s="128" t="s">
        <v>281</v>
      </c>
      <c r="G20" s="113">
        <v>50</v>
      </c>
      <c r="H20" s="44"/>
      <c r="I20" s="44"/>
      <c r="J20" s="44"/>
      <c r="K20" s="44"/>
      <c r="L20" s="44"/>
    </row>
    <row r="21" spans="1:12" s="4" customFormat="1" ht="15" customHeight="1" thickBot="1" x14ac:dyDescent="0.35">
      <c r="A21" s="26" t="s">
        <v>46</v>
      </c>
      <c r="C21" s="44"/>
      <c r="D21" s="44"/>
      <c r="E21" s="44"/>
      <c r="F21" s="44"/>
      <c r="G21" s="44"/>
      <c r="H21" s="44"/>
      <c r="I21" s="44"/>
      <c r="J21" s="44"/>
      <c r="K21" s="44"/>
      <c r="L21" s="44"/>
    </row>
    <row r="22" spans="1:12" s="4" customFormat="1" ht="15" customHeight="1" thickTop="1" thickBot="1" x14ac:dyDescent="0.35">
      <c r="A22" s="26" t="s">
        <v>47</v>
      </c>
      <c r="C22" s="60" t="s">
        <v>276</v>
      </c>
      <c r="D22" s="48">
        <f>VLOOKUP(C22,C17:D20,2,FALSE)</f>
        <v>60</v>
      </c>
      <c r="E22" s="45"/>
      <c r="F22" s="60" t="s">
        <v>280</v>
      </c>
      <c r="G22" s="48"/>
      <c r="H22" s="44"/>
      <c r="I22" s="44"/>
      <c r="J22" s="44"/>
      <c r="K22" s="44"/>
      <c r="L22" s="44"/>
    </row>
    <row r="23" spans="1:12" s="4" customFormat="1" ht="15" customHeight="1" thickTop="1" x14ac:dyDescent="0.3">
      <c r="A23" s="26" t="s">
        <v>48</v>
      </c>
      <c r="C23" s="44"/>
      <c r="D23" s="45"/>
      <c r="E23" s="45"/>
      <c r="F23" s="44"/>
      <c r="G23" s="45"/>
      <c r="H23" s="44"/>
      <c r="I23" s="44"/>
      <c r="J23" s="44"/>
      <c r="K23" s="44"/>
      <c r="L23" s="44"/>
    </row>
    <row r="24" spans="1:12" s="4" customFormat="1" ht="15" customHeight="1" x14ac:dyDescent="0.3">
      <c r="A24" s="26" t="s">
        <v>49</v>
      </c>
      <c r="H24" s="44"/>
      <c r="I24" s="44"/>
      <c r="J24" s="44"/>
      <c r="K24" s="44"/>
      <c r="L24" s="44"/>
    </row>
    <row r="25" spans="1:12" s="4" customFormat="1" ht="15" customHeight="1" x14ac:dyDescent="0.3">
      <c r="A25" s="26" t="s">
        <v>21</v>
      </c>
      <c r="H25" s="44"/>
      <c r="I25" s="44"/>
      <c r="J25" s="44"/>
      <c r="K25" s="44"/>
      <c r="L25" s="44"/>
    </row>
    <row r="26" spans="1:12" ht="15" customHeight="1" x14ac:dyDescent="0.3">
      <c r="C26" s="4"/>
      <c r="E26" s="4"/>
      <c r="F26" s="4"/>
      <c r="G26" s="4"/>
      <c r="H26" s="43"/>
      <c r="I26" s="44"/>
      <c r="J26" s="44"/>
      <c r="K26" s="44"/>
      <c r="L26" s="44"/>
    </row>
    <row r="27" spans="1:12" ht="15" customHeight="1" x14ac:dyDescent="0.3">
      <c r="C27" s="4"/>
      <c r="E27" s="4"/>
      <c r="F27" s="4"/>
      <c r="G27" s="4"/>
      <c r="H27" s="43"/>
      <c r="I27" s="43"/>
      <c r="J27" s="43"/>
      <c r="K27" s="43"/>
      <c r="L27" s="43"/>
    </row>
    <row r="28" spans="1:12" ht="15" customHeight="1" x14ac:dyDescent="0.3">
      <c r="C28" s="4"/>
      <c r="E28" s="4"/>
      <c r="F28" s="4"/>
      <c r="G28" s="4"/>
      <c r="H28" s="43"/>
      <c r="I28" s="43"/>
      <c r="J28" s="43"/>
      <c r="K28" s="43"/>
      <c r="L28" s="43"/>
    </row>
    <row r="29" spans="1:12" ht="15" customHeight="1" x14ac:dyDescent="0.3">
      <c r="H29" s="43"/>
      <c r="I29" s="43"/>
      <c r="J29" s="43"/>
      <c r="K29" s="43"/>
      <c r="L29" s="43"/>
    </row>
    <row r="30" spans="1:12" ht="15" customHeight="1" x14ac:dyDescent="0.3">
      <c r="H30" s="43"/>
      <c r="I30" s="43"/>
      <c r="J30" s="43"/>
      <c r="K30" s="43"/>
      <c r="L30" s="43"/>
    </row>
    <row r="31" spans="1:12" ht="15" customHeight="1" x14ac:dyDescent="0.3">
      <c r="H31" s="43"/>
      <c r="I31" s="43"/>
      <c r="J31" s="43"/>
      <c r="K31" s="43"/>
      <c r="L31" s="43"/>
    </row>
    <row r="32" spans="1:12" ht="15" customHeight="1" x14ac:dyDescent="0.3">
      <c r="H32" s="43"/>
      <c r="I32" s="43"/>
      <c r="J32" s="43"/>
      <c r="K32" s="43"/>
      <c r="L32" s="43"/>
    </row>
    <row r="33" spans="2:7" ht="15" customHeight="1" x14ac:dyDescent="0.3">
      <c r="B33" s="43"/>
      <c r="C33" s="100"/>
      <c r="D33" s="101"/>
      <c r="E33" s="101"/>
      <c r="F33" s="101"/>
      <c r="G33" s="101"/>
    </row>
    <row r="34" spans="2:7" ht="15" customHeight="1" x14ac:dyDescent="0.3">
      <c r="B34" s="43"/>
      <c r="C34" s="101"/>
      <c r="D34" s="101"/>
      <c r="E34" s="101"/>
      <c r="F34" s="101"/>
      <c r="G34" s="101"/>
    </row>
    <row r="35" spans="2:7" ht="15" customHeight="1" x14ac:dyDescent="0.3">
      <c r="B35" s="43"/>
      <c r="C35" s="90" t="s">
        <v>13</v>
      </c>
      <c r="D35" s="88"/>
      <c r="E35" s="88"/>
      <c r="F35" s="88"/>
      <c r="G35" s="88"/>
    </row>
    <row r="36" spans="2:7" ht="15" customHeight="1" x14ac:dyDescent="0.3">
      <c r="B36" s="43"/>
      <c r="C36" s="37" t="s">
        <v>321</v>
      </c>
      <c r="D36" s="34" t="s">
        <v>291</v>
      </c>
      <c r="E36" s="25"/>
      <c r="F36" s="33" t="s">
        <v>321</v>
      </c>
      <c r="G36" s="34" t="s">
        <v>291</v>
      </c>
    </row>
    <row r="37" spans="2:7" ht="15" customHeight="1" x14ac:dyDescent="0.3">
      <c r="B37" s="43"/>
      <c r="C37" s="128" t="s">
        <v>282</v>
      </c>
      <c r="D37" s="113">
        <v>50</v>
      </c>
      <c r="E37" s="45"/>
      <c r="F37" s="128" t="s">
        <v>282</v>
      </c>
      <c r="G37" s="113">
        <v>50</v>
      </c>
    </row>
    <row r="38" spans="2:7" ht="15" customHeight="1" x14ac:dyDescent="0.3">
      <c r="B38" s="43"/>
      <c r="C38" s="128" t="s">
        <v>285</v>
      </c>
      <c r="D38" s="113">
        <v>100</v>
      </c>
      <c r="E38" s="45"/>
      <c r="F38" s="128" t="s">
        <v>285</v>
      </c>
      <c r="G38" s="113">
        <v>100</v>
      </c>
    </row>
    <row r="39" spans="2:7" ht="15" customHeight="1" x14ac:dyDescent="0.3">
      <c r="B39" s="43"/>
      <c r="C39" s="108" t="s">
        <v>8</v>
      </c>
      <c r="D39" s="113">
        <v>40</v>
      </c>
      <c r="E39" s="45"/>
      <c r="F39" s="108" t="s">
        <v>8</v>
      </c>
      <c r="G39" s="113">
        <v>40</v>
      </c>
    </row>
    <row r="40" spans="2:7" ht="15" customHeight="1" x14ac:dyDescent="0.3">
      <c r="C40" s="128" t="s">
        <v>284</v>
      </c>
      <c r="D40" s="113">
        <v>50</v>
      </c>
      <c r="E40" s="45"/>
      <c r="F40" s="128" t="s">
        <v>284</v>
      </c>
      <c r="G40" s="113">
        <v>50</v>
      </c>
    </row>
    <row r="41" spans="2:7" ht="15" customHeight="1" x14ac:dyDescent="0.3">
      <c r="C41" s="128" t="s">
        <v>283</v>
      </c>
      <c r="D41" s="113">
        <v>20</v>
      </c>
      <c r="E41" s="45"/>
      <c r="F41" s="128" t="s">
        <v>283</v>
      </c>
      <c r="G41" s="113">
        <v>20</v>
      </c>
    </row>
    <row r="42" spans="2:7" ht="15" customHeight="1" thickBot="1" x14ac:dyDescent="0.35">
      <c r="C42" s="44"/>
      <c r="D42" s="44"/>
      <c r="E42" s="44"/>
      <c r="F42" s="44"/>
      <c r="G42" s="44"/>
    </row>
    <row r="43" spans="2:7" ht="15" customHeight="1" thickTop="1" thickBot="1" x14ac:dyDescent="0.35">
      <c r="B43" s="43"/>
      <c r="C43" s="60"/>
      <c r="D43" s="48" t="e">
        <f>VLOOKUP(C43,C37:D41,2,FALSE)</f>
        <v>#N/A</v>
      </c>
      <c r="E43" s="45"/>
      <c r="F43" s="92" t="s">
        <v>284</v>
      </c>
      <c r="G43" s="48">
        <f>IFERROR(VLOOKUP(F43,F37:G41,2,FALSE),"")</f>
        <v>50</v>
      </c>
    </row>
    <row r="44" spans="2:7" ht="15" customHeight="1" thickTop="1" x14ac:dyDescent="0.3">
      <c r="B44" s="43"/>
      <c r="C44" s="43"/>
      <c r="D44" s="44"/>
      <c r="E44" s="43"/>
      <c r="F44" s="43"/>
      <c r="G44" s="43"/>
    </row>
    <row r="45" spans="2:7" ht="15" customHeight="1" x14ac:dyDescent="0.3">
      <c r="B45" s="43"/>
      <c r="C45" s="43"/>
      <c r="D45" s="44"/>
      <c r="E45" s="43"/>
      <c r="F45" s="43"/>
      <c r="G45" s="43"/>
    </row>
    <row r="46" spans="2:7" ht="15" customHeight="1" x14ac:dyDescent="0.3">
      <c r="B46" s="43"/>
      <c r="C46" s="43"/>
      <c r="D46" s="44"/>
      <c r="E46" s="43"/>
      <c r="F46" s="43"/>
      <c r="G46" s="43"/>
    </row>
    <row r="47" spans="2:7" ht="15" customHeight="1" x14ac:dyDescent="0.3">
      <c r="B47" s="43"/>
      <c r="C47" s="43"/>
      <c r="D47" s="44"/>
      <c r="E47" s="43"/>
      <c r="F47" s="43"/>
      <c r="G47" s="43"/>
    </row>
    <row r="48" spans="2:7" ht="15" customHeight="1" x14ac:dyDescent="0.3">
      <c r="B48" s="43"/>
      <c r="C48" s="43"/>
      <c r="D48" s="44"/>
      <c r="E48" s="43"/>
      <c r="F48" s="43"/>
      <c r="G48" s="43"/>
    </row>
  </sheetData>
  <dataValidations count="4">
    <dataValidation type="list" allowBlank="1" showInputMessage="1" showErrorMessage="1" sqref="C22" xr:uid="{00000000-0002-0000-0800-000000000000}">
      <formula1>$C$17:$C$20</formula1>
    </dataValidation>
    <dataValidation type="list" allowBlank="1" showInputMessage="1" showErrorMessage="1" sqref="F22" xr:uid="{00000000-0002-0000-0800-000001000000}">
      <formula1>$F$17:$F$20</formula1>
    </dataValidation>
    <dataValidation type="list" allowBlank="1" showInputMessage="1" showErrorMessage="1" sqref="C43" xr:uid="{00000000-0002-0000-0800-000002000000}">
      <formula1>$C$37:$C$41</formula1>
    </dataValidation>
    <dataValidation type="list" allowBlank="1" showInputMessage="1" sqref="F43" xr:uid="{00000000-0002-0000-0800-000003000000}">
      <formula1>$F$37:$F$41</formula1>
    </dataValidation>
  </dataValidation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5"/>
  <dimension ref="A1:AH124"/>
  <sheetViews>
    <sheetView showGridLines="0" topLeftCell="A38" workbookViewId="0">
      <selection activeCell="C50" sqref="C50:C53"/>
    </sheetView>
  </sheetViews>
  <sheetFormatPr baseColWidth="10" defaultColWidth="8.88671875" defaultRowHeight="14.4" x14ac:dyDescent="0.3"/>
  <cols>
    <col min="1" max="1" width="12.6640625" style="9" customWidth="1"/>
    <col min="2" max="2" width="95.33203125" style="24" customWidth="1"/>
    <col min="3" max="4" width="12.6640625" style="20" customWidth="1"/>
    <col min="5" max="5" width="8.44140625" style="20" bestFit="1" customWidth="1"/>
    <col min="6" max="8" width="12.6640625" style="20" customWidth="1"/>
    <col min="9" max="25" width="8.88671875" style="20"/>
    <col min="26" max="26" width="8.88671875" style="20" hidden="1" customWidth="1"/>
    <col min="27" max="27" width="2.33203125" style="20" hidden="1" customWidth="1"/>
    <col min="28" max="28" width="11" style="20" hidden="1" customWidth="1"/>
    <col min="29" max="29" width="2.33203125" style="20" hidden="1" customWidth="1"/>
    <col min="30" max="30" width="11" style="20" hidden="1" customWidth="1"/>
    <col min="31" max="31" width="2.33203125" style="20" hidden="1" customWidth="1"/>
    <col min="32" max="32" width="11" style="20" hidden="1" customWidth="1"/>
    <col min="33" max="33" width="2.33203125" style="20" hidden="1" customWidth="1"/>
    <col min="34" max="34" width="11" style="20" hidden="1" customWidth="1"/>
    <col min="35" max="16384" width="8.88671875" style="20"/>
  </cols>
  <sheetData>
    <row r="1" spans="1:34" ht="60" customHeight="1" x14ac:dyDescent="0.3">
      <c r="A1" s="29" t="s">
        <v>176</v>
      </c>
      <c r="B1" s="9"/>
      <c r="C1" s="76"/>
      <c r="D1" s="88"/>
      <c r="E1" s="88"/>
      <c r="F1" s="88"/>
      <c r="G1" s="88"/>
      <c r="H1" s="88"/>
      <c r="I1" s="43"/>
      <c r="J1" s="43"/>
      <c r="K1" s="43"/>
      <c r="L1" s="43"/>
      <c r="M1" s="43"/>
      <c r="N1" s="43"/>
      <c r="O1" s="43"/>
      <c r="P1" s="43"/>
      <c r="Q1" s="43"/>
      <c r="R1" s="43"/>
      <c r="S1" s="43"/>
      <c r="T1" s="43"/>
      <c r="U1" s="43"/>
      <c r="V1" s="43"/>
      <c r="W1" s="43"/>
      <c r="X1" s="43"/>
      <c r="Y1" s="43"/>
      <c r="Z1" s="43"/>
      <c r="AA1" s="43"/>
      <c r="AB1" s="43"/>
      <c r="AC1" s="43"/>
      <c r="AD1" s="43"/>
      <c r="AE1" s="43"/>
      <c r="AF1" s="43"/>
      <c r="AG1" s="43"/>
      <c r="AH1" s="43"/>
    </row>
    <row r="2" spans="1:34" ht="15" customHeight="1" x14ac:dyDescent="0.3">
      <c r="A2" s="29" t="s">
        <v>177</v>
      </c>
      <c r="B2" s="9"/>
      <c r="C2" s="7" t="s">
        <v>322</v>
      </c>
      <c r="D2" s="8" t="s">
        <v>291</v>
      </c>
      <c r="E2" s="45"/>
      <c r="F2" s="7" t="s">
        <v>1</v>
      </c>
      <c r="G2" s="7" t="s">
        <v>32</v>
      </c>
      <c r="H2" s="8" t="s">
        <v>2</v>
      </c>
      <c r="I2" s="43"/>
      <c r="J2" s="43"/>
      <c r="K2" s="43"/>
      <c r="L2" s="43"/>
      <c r="M2" s="43"/>
      <c r="N2" s="43"/>
      <c r="O2" s="43"/>
      <c r="P2" s="43"/>
      <c r="Q2" s="43"/>
      <c r="R2" s="43"/>
      <c r="S2" s="43"/>
      <c r="T2" s="43"/>
      <c r="U2" s="43"/>
      <c r="V2" s="43"/>
      <c r="W2" s="43"/>
      <c r="X2" s="43"/>
      <c r="Y2" s="43"/>
      <c r="Z2" s="7" t="s">
        <v>1</v>
      </c>
      <c r="AA2" s="43"/>
      <c r="AB2" s="7" t="s">
        <v>3</v>
      </c>
      <c r="AC2" s="43"/>
      <c r="AD2" s="7" t="s">
        <v>4</v>
      </c>
      <c r="AE2" s="43"/>
      <c r="AF2" s="7" t="s">
        <v>5</v>
      </c>
      <c r="AG2" s="43"/>
      <c r="AH2" s="7" t="s">
        <v>6</v>
      </c>
    </row>
    <row r="3" spans="1:34" ht="15" customHeight="1" x14ac:dyDescent="0.3">
      <c r="A3" s="29" t="s">
        <v>178</v>
      </c>
      <c r="B3" s="9"/>
      <c r="C3" s="140" t="s">
        <v>320</v>
      </c>
      <c r="D3" s="113">
        <v>50</v>
      </c>
      <c r="E3" s="45"/>
      <c r="F3" s="140" t="s">
        <v>320</v>
      </c>
      <c r="G3" s="112" t="s">
        <v>33</v>
      </c>
      <c r="H3" s="113">
        <v>50</v>
      </c>
      <c r="I3" s="43"/>
      <c r="J3" s="43"/>
      <c r="K3" s="43"/>
      <c r="L3" s="43"/>
      <c r="M3" s="43"/>
      <c r="N3" s="43"/>
      <c r="O3" s="43"/>
      <c r="P3" s="43"/>
      <c r="Q3" s="43"/>
      <c r="R3" s="43"/>
      <c r="S3" s="43"/>
      <c r="T3" s="43"/>
      <c r="U3" s="43"/>
      <c r="V3" s="43"/>
      <c r="W3" s="43"/>
      <c r="X3" s="43"/>
      <c r="Y3" s="43"/>
      <c r="Z3" s="46" t="s">
        <v>3</v>
      </c>
      <c r="AA3" s="43"/>
      <c r="AB3" s="46" t="s">
        <v>33</v>
      </c>
      <c r="AC3" s="43"/>
      <c r="AD3" s="46" t="s">
        <v>34</v>
      </c>
      <c r="AE3" s="43"/>
      <c r="AF3" s="46" t="s">
        <v>35</v>
      </c>
      <c r="AG3" s="43"/>
      <c r="AH3" s="46" t="s">
        <v>36</v>
      </c>
    </row>
    <row r="4" spans="1:34" ht="15" customHeight="1" x14ac:dyDescent="0.3">
      <c r="A4" s="29" t="s">
        <v>179</v>
      </c>
      <c r="B4" s="9"/>
      <c r="C4" s="112" t="s">
        <v>4</v>
      </c>
      <c r="D4" s="113">
        <v>20</v>
      </c>
      <c r="E4" s="45"/>
      <c r="F4" s="112" t="s">
        <v>4</v>
      </c>
      <c r="G4" s="112" t="s">
        <v>34</v>
      </c>
      <c r="H4" s="113">
        <v>20</v>
      </c>
      <c r="I4" s="43"/>
      <c r="J4" s="5"/>
      <c r="K4" s="5"/>
      <c r="L4" s="5"/>
      <c r="M4" s="5"/>
      <c r="N4" s="5"/>
      <c r="O4" s="43"/>
      <c r="P4" s="43"/>
      <c r="Q4" s="43"/>
      <c r="R4" s="43"/>
      <c r="S4" s="43"/>
      <c r="T4" s="43"/>
      <c r="U4" s="43"/>
      <c r="V4" s="43"/>
      <c r="W4" s="43"/>
      <c r="X4" s="43"/>
      <c r="Y4" s="43"/>
      <c r="Z4" s="46" t="s">
        <v>4</v>
      </c>
      <c r="AA4" s="43"/>
      <c r="AB4" s="46" t="s">
        <v>37</v>
      </c>
      <c r="AC4" s="43"/>
      <c r="AD4" s="46" t="s">
        <v>38</v>
      </c>
      <c r="AE4" s="43"/>
      <c r="AF4" s="46" t="s">
        <v>39</v>
      </c>
      <c r="AG4" s="43"/>
      <c r="AH4" s="46" t="s">
        <v>40</v>
      </c>
    </row>
    <row r="5" spans="1:34" s="22" customFormat="1" ht="15" customHeight="1" x14ac:dyDescent="0.35">
      <c r="A5" s="29" t="s">
        <v>180</v>
      </c>
      <c r="B5" s="44"/>
      <c r="C5" s="140" t="s">
        <v>276</v>
      </c>
      <c r="D5" s="113">
        <v>60</v>
      </c>
      <c r="E5" s="45"/>
      <c r="F5" s="140" t="s">
        <v>276</v>
      </c>
      <c r="G5" s="112" t="s">
        <v>35</v>
      </c>
      <c r="H5" s="113">
        <v>60</v>
      </c>
      <c r="I5" s="43"/>
      <c r="J5" s="5"/>
      <c r="K5" s="21"/>
      <c r="L5" s="5"/>
      <c r="M5" s="5"/>
      <c r="N5" s="5"/>
      <c r="O5" s="43"/>
      <c r="P5" s="43"/>
      <c r="Q5" s="44"/>
      <c r="R5" s="44"/>
      <c r="S5" s="44"/>
      <c r="T5" s="44"/>
      <c r="U5" s="44"/>
      <c r="V5" s="44"/>
      <c r="W5" s="44"/>
      <c r="X5" s="44"/>
      <c r="Y5" s="44"/>
      <c r="Z5" s="46" t="s">
        <v>5</v>
      </c>
      <c r="AA5" s="44"/>
      <c r="AB5" s="44"/>
      <c r="AC5" s="44"/>
      <c r="AD5" s="44"/>
      <c r="AE5" s="44"/>
      <c r="AF5" s="44"/>
      <c r="AG5" s="44"/>
      <c r="AH5" s="44"/>
    </row>
    <row r="6" spans="1:34" s="22" customFormat="1" ht="15" customHeight="1" x14ac:dyDescent="0.3">
      <c r="A6" s="29" t="s">
        <v>181</v>
      </c>
      <c r="B6" s="44"/>
      <c r="C6" s="140" t="s">
        <v>277</v>
      </c>
      <c r="D6" s="113">
        <v>40</v>
      </c>
      <c r="E6" s="45"/>
      <c r="F6" s="140" t="s">
        <v>277</v>
      </c>
      <c r="G6" s="112" t="s">
        <v>36</v>
      </c>
      <c r="H6" s="113">
        <v>40</v>
      </c>
      <c r="I6" s="43"/>
      <c r="K6" s="43"/>
      <c r="L6" s="43"/>
      <c r="M6" s="43"/>
      <c r="N6" s="5"/>
      <c r="O6" s="43"/>
      <c r="P6" s="43"/>
      <c r="Q6" s="44"/>
      <c r="R6" s="44"/>
      <c r="S6" s="44"/>
      <c r="T6" s="44"/>
      <c r="U6" s="44"/>
      <c r="V6" s="44"/>
      <c r="W6" s="44"/>
      <c r="X6" s="44"/>
      <c r="Y6" s="44"/>
      <c r="Z6" s="46" t="s">
        <v>6</v>
      </c>
      <c r="AA6" s="44"/>
      <c r="AB6" s="44"/>
      <c r="AC6" s="44"/>
      <c r="AD6" s="44"/>
      <c r="AE6" s="44"/>
      <c r="AF6" s="44"/>
      <c r="AG6" s="44"/>
      <c r="AH6" s="44"/>
    </row>
    <row r="7" spans="1:34" s="22" customFormat="1" ht="15" customHeight="1" x14ac:dyDescent="0.3">
      <c r="A7" s="29" t="s">
        <v>240</v>
      </c>
      <c r="B7" s="44"/>
      <c r="C7" s="140" t="s">
        <v>320</v>
      </c>
      <c r="D7" s="113">
        <v>50</v>
      </c>
      <c r="E7" s="45"/>
      <c r="F7" s="140" t="s">
        <v>320</v>
      </c>
      <c r="G7" s="112" t="s">
        <v>37</v>
      </c>
      <c r="H7" s="113">
        <v>50</v>
      </c>
      <c r="I7" s="44"/>
      <c r="J7" s="44"/>
      <c r="K7" s="44"/>
      <c r="L7" s="44"/>
      <c r="M7" s="44"/>
      <c r="N7" s="5"/>
      <c r="O7" s="44"/>
      <c r="P7" s="44"/>
      <c r="Q7" s="44"/>
      <c r="R7" s="44"/>
      <c r="S7" s="44"/>
      <c r="T7" s="44"/>
      <c r="U7" s="44"/>
      <c r="V7" s="44"/>
      <c r="W7" s="44"/>
      <c r="X7" s="44"/>
      <c r="Y7" s="44"/>
      <c r="Z7" s="44"/>
      <c r="AA7" s="44"/>
      <c r="AB7" s="44"/>
      <c r="AC7" s="44"/>
      <c r="AD7" s="44"/>
      <c r="AE7" s="44"/>
      <c r="AF7" s="44"/>
      <c r="AG7" s="44"/>
      <c r="AH7" s="44"/>
    </row>
    <row r="8" spans="1:34" s="22" customFormat="1" ht="15" customHeight="1" x14ac:dyDescent="0.3">
      <c r="A8" s="29" t="s">
        <v>182</v>
      </c>
      <c r="B8" s="44"/>
      <c r="C8" s="112" t="s">
        <v>4</v>
      </c>
      <c r="D8" s="113">
        <v>20</v>
      </c>
      <c r="E8" s="45"/>
      <c r="F8" s="112" t="s">
        <v>4</v>
      </c>
      <c r="G8" s="112" t="s">
        <v>38</v>
      </c>
      <c r="H8" s="113">
        <v>20</v>
      </c>
      <c r="I8" s="44"/>
      <c r="J8" s="44"/>
      <c r="K8" s="44"/>
      <c r="L8" s="44"/>
      <c r="M8" s="44"/>
      <c r="N8" s="5"/>
      <c r="O8" s="44"/>
      <c r="P8" s="44"/>
      <c r="Q8" s="44"/>
      <c r="R8" s="44"/>
      <c r="S8" s="44"/>
      <c r="T8" s="44"/>
      <c r="U8" s="44"/>
      <c r="V8" s="44"/>
      <c r="W8" s="44"/>
      <c r="X8" s="44"/>
      <c r="Y8" s="44"/>
      <c r="Z8" s="44"/>
      <c r="AA8" s="44"/>
      <c r="AB8" s="44"/>
      <c r="AC8" s="44"/>
      <c r="AD8" s="44"/>
      <c r="AE8" s="44"/>
      <c r="AF8" s="44"/>
      <c r="AG8" s="44"/>
      <c r="AH8" s="44"/>
    </row>
    <row r="9" spans="1:34" s="22" customFormat="1" ht="15" customHeight="1" x14ac:dyDescent="0.3">
      <c r="A9" s="29" t="s">
        <v>183</v>
      </c>
      <c r="B9" s="44"/>
      <c r="C9" s="140" t="s">
        <v>276</v>
      </c>
      <c r="D9" s="113">
        <v>60</v>
      </c>
      <c r="E9" s="45"/>
      <c r="F9" s="140" t="s">
        <v>276</v>
      </c>
      <c r="G9" s="112" t="s">
        <v>39</v>
      </c>
      <c r="H9" s="113">
        <v>60</v>
      </c>
      <c r="I9" s="44"/>
      <c r="J9" s="44"/>
      <c r="K9" s="44"/>
      <c r="L9" s="44"/>
      <c r="M9" s="44"/>
      <c r="N9" s="5"/>
      <c r="O9" s="44"/>
      <c r="P9" s="44"/>
      <c r="Q9" s="44"/>
      <c r="R9" s="44"/>
      <c r="S9" s="44"/>
      <c r="T9" s="44"/>
      <c r="U9" s="44"/>
      <c r="V9" s="44"/>
      <c r="W9" s="44"/>
      <c r="X9" s="44"/>
      <c r="Y9" s="44"/>
      <c r="Z9" s="44"/>
      <c r="AA9" s="44"/>
      <c r="AB9" s="44"/>
      <c r="AC9" s="44"/>
      <c r="AD9" s="44"/>
      <c r="AE9" s="44"/>
      <c r="AF9" s="44"/>
      <c r="AG9" s="44"/>
      <c r="AH9" s="44"/>
    </row>
    <row r="10" spans="1:34" s="22" customFormat="1" ht="15" customHeight="1" x14ac:dyDescent="0.3">
      <c r="A10" s="29" t="s">
        <v>184</v>
      </c>
      <c r="B10" s="44"/>
      <c r="C10" s="140" t="s">
        <v>277</v>
      </c>
      <c r="D10" s="113">
        <v>40</v>
      </c>
      <c r="E10" s="45"/>
      <c r="F10" s="140" t="s">
        <v>277</v>
      </c>
      <c r="G10" s="112" t="s">
        <v>40</v>
      </c>
      <c r="H10" s="113">
        <v>40</v>
      </c>
      <c r="I10" s="44"/>
      <c r="J10" s="5"/>
      <c r="K10" s="5"/>
      <c r="L10" s="5"/>
      <c r="M10" s="5"/>
      <c r="N10" s="5"/>
      <c r="O10" s="44"/>
      <c r="P10" s="44"/>
      <c r="Q10" s="44"/>
      <c r="R10" s="44"/>
      <c r="S10" s="44"/>
      <c r="T10" s="44"/>
      <c r="U10" s="44"/>
      <c r="V10" s="44"/>
      <c r="W10" s="44"/>
      <c r="X10" s="44"/>
      <c r="Y10" s="44"/>
      <c r="Z10" s="44"/>
      <c r="AA10" s="44"/>
      <c r="AB10" s="44"/>
      <c r="AC10" s="44"/>
      <c r="AD10" s="44"/>
      <c r="AE10" s="44"/>
      <c r="AF10" s="44"/>
      <c r="AG10" s="44"/>
      <c r="AH10" s="44"/>
    </row>
    <row r="11" spans="1:34" s="22" customFormat="1" ht="15" customHeight="1" x14ac:dyDescent="0.3">
      <c r="A11" s="29" t="s">
        <v>185</v>
      </c>
      <c r="B11" s="44"/>
      <c r="C11" s="140" t="s">
        <v>320</v>
      </c>
      <c r="D11" s="113">
        <v>50</v>
      </c>
      <c r="E11" s="45"/>
      <c r="F11" s="140" t="s">
        <v>320</v>
      </c>
      <c r="G11" s="112" t="s">
        <v>37</v>
      </c>
      <c r="H11" s="113">
        <v>50</v>
      </c>
      <c r="I11" s="44"/>
      <c r="J11" s="49"/>
      <c r="K11" s="10"/>
      <c r="L11" s="5"/>
      <c r="M11" s="5"/>
      <c r="N11" s="5"/>
      <c r="O11" s="44"/>
      <c r="P11" s="44"/>
      <c r="Q11" s="44"/>
      <c r="R11" s="44"/>
      <c r="S11" s="44"/>
      <c r="T11" s="44"/>
      <c r="U11" s="44"/>
      <c r="V11" s="44"/>
      <c r="W11" s="44"/>
      <c r="X11" s="44"/>
      <c r="Y11" s="44"/>
      <c r="Z11" s="44"/>
      <c r="AA11" s="44"/>
      <c r="AB11" s="44"/>
      <c r="AC11" s="44"/>
      <c r="AD11" s="44"/>
      <c r="AE11" s="44"/>
      <c r="AF11" s="44"/>
      <c r="AG11" s="44"/>
      <c r="AH11" s="44"/>
    </row>
    <row r="12" spans="1:34" s="22" customFormat="1" ht="15" customHeight="1" x14ac:dyDescent="0.3">
      <c r="A12" s="29" t="s">
        <v>186</v>
      </c>
      <c r="B12" s="44"/>
      <c r="C12" s="112" t="s">
        <v>4</v>
      </c>
      <c r="D12" s="113">
        <v>20</v>
      </c>
      <c r="E12" s="45"/>
      <c r="F12" s="112" t="s">
        <v>4</v>
      </c>
      <c r="G12" s="112" t="s">
        <v>38</v>
      </c>
      <c r="H12" s="113">
        <v>20</v>
      </c>
      <c r="I12" s="44"/>
      <c r="J12" s="49"/>
      <c r="K12" s="6"/>
      <c r="L12" s="5"/>
      <c r="M12" s="5"/>
      <c r="N12" s="5"/>
      <c r="O12" s="44"/>
      <c r="P12" s="44"/>
      <c r="Q12" s="44"/>
      <c r="R12" s="44"/>
      <c r="S12" s="44"/>
      <c r="T12" s="44"/>
      <c r="U12" s="44"/>
      <c r="V12" s="44"/>
      <c r="W12" s="44"/>
      <c r="X12" s="44"/>
      <c r="Y12" s="44"/>
      <c r="Z12" s="44"/>
      <c r="AA12" s="44"/>
      <c r="AB12" s="44"/>
      <c r="AC12" s="44"/>
      <c r="AD12" s="44"/>
      <c r="AE12" s="44"/>
      <c r="AF12" s="44"/>
      <c r="AG12" s="44"/>
      <c r="AH12" s="44"/>
    </row>
    <row r="13" spans="1:34" s="22" customFormat="1" ht="15" customHeight="1" x14ac:dyDescent="0.3">
      <c r="A13" s="31" t="s">
        <v>187</v>
      </c>
      <c r="B13" s="44"/>
      <c r="C13" s="140" t="s">
        <v>276</v>
      </c>
      <c r="D13" s="113">
        <v>60</v>
      </c>
      <c r="E13" s="45"/>
      <c r="F13" s="140" t="s">
        <v>276</v>
      </c>
      <c r="G13" s="112" t="s">
        <v>35</v>
      </c>
      <c r="H13" s="113">
        <v>60</v>
      </c>
      <c r="I13" s="44"/>
      <c r="J13" s="49"/>
      <c r="K13" s="6"/>
      <c r="L13" s="5"/>
      <c r="M13" s="5"/>
      <c r="N13" s="5"/>
      <c r="O13" s="44"/>
      <c r="P13" s="44"/>
      <c r="Q13" s="44"/>
      <c r="R13" s="44"/>
      <c r="S13" s="44"/>
      <c r="T13" s="44"/>
      <c r="U13" s="44"/>
      <c r="V13" s="44"/>
      <c r="W13" s="44"/>
      <c r="X13" s="44"/>
      <c r="Y13" s="44"/>
      <c r="Z13" s="44"/>
      <c r="AA13" s="44"/>
      <c r="AB13" s="44"/>
      <c r="AC13" s="44"/>
      <c r="AD13" s="44"/>
      <c r="AE13" s="44"/>
      <c r="AF13" s="44"/>
      <c r="AG13" s="44"/>
      <c r="AH13" s="44"/>
    </row>
    <row r="14" spans="1:34" s="22" customFormat="1" ht="15" customHeight="1" x14ac:dyDescent="0.3">
      <c r="A14" s="30" t="s">
        <v>188</v>
      </c>
      <c r="B14" s="44"/>
      <c r="C14" s="140" t="s">
        <v>277</v>
      </c>
      <c r="D14" s="113">
        <v>40</v>
      </c>
      <c r="E14" s="45"/>
      <c r="F14" s="140" t="s">
        <v>277</v>
      </c>
      <c r="G14" s="112" t="s">
        <v>40</v>
      </c>
      <c r="H14" s="113">
        <v>40</v>
      </c>
      <c r="I14" s="44"/>
      <c r="J14" s="49"/>
      <c r="K14" s="50"/>
      <c r="L14" s="5"/>
      <c r="M14" s="5"/>
      <c r="N14" s="5"/>
      <c r="O14" s="44"/>
      <c r="P14" s="44"/>
      <c r="Q14" s="44"/>
      <c r="R14" s="44"/>
      <c r="S14" s="44"/>
      <c r="T14" s="44"/>
      <c r="U14" s="44"/>
      <c r="V14" s="44"/>
      <c r="W14" s="44"/>
      <c r="X14" s="44"/>
      <c r="Y14" s="44"/>
      <c r="Z14" s="44"/>
      <c r="AA14" s="44"/>
      <c r="AB14" s="44"/>
      <c r="AC14" s="44"/>
      <c r="AD14" s="44"/>
      <c r="AE14" s="44"/>
      <c r="AF14" s="44"/>
      <c r="AG14" s="44"/>
      <c r="AH14" s="44"/>
    </row>
    <row r="15" spans="1:34" s="22" customFormat="1" ht="15" customHeight="1" x14ac:dyDescent="0.3">
      <c r="A15" s="31" t="s">
        <v>247</v>
      </c>
      <c r="B15" s="44"/>
      <c r="C15" s="23"/>
      <c r="D15" s="23"/>
      <c r="E15" s="23"/>
      <c r="F15" s="23"/>
      <c r="G15" s="23"/>
      <c r="H15" s="23"/>
      <c r="I15" s="44"/>
      <c r="J15" s="49"/>
      <c r="K15" s="51"/>
      <c r="L15" s="5"/>
      <c r="M15" s="5"/>
      <c r="N15" s="5"/>
      <c r="O15" s="44"/>
      <c r="P15" s="44"/>
      <c r="Q15" s="44"/>
      <c r="R15" s="44"/>
      <c r="S15" s="44"/>
      <c r="T15" s="44"/>
      <c r="U15" s="44"/>
      <c r="V15" s="44"/>
      <c r="W15" s="44"/>
      <c r="X15" s="44"/>
      <c r="Y15" s="44"/>
      <c r="Z15" s="44"/>
      <c r="AA15" s="44"/>
      <c r="AB15" s="44"/>
      <c r="AC15" s="44"/>
      <c r="AD15" s="44"/>
      <c r="AE15" s="44"/>
      <c r="AF15" s="44"/>
      <c r="AG15" s="44"/>
      <c r="AH15" s="44"/>
    </row>
    <row r="16" spans="1:34" s="22" customFormat="1" ht="15" customHeight="1" thickBot="1" x14ac:dyDescent="0.35">
      <c r="A16" s="29" t="s">
        <v>90</v>
      </c>
      <c r="B16" s="44"/>
      <c r="C16" s="44" t="s">
        <v>1</v>
      </c>
      <c r="D16" s="25" t="s">
        <v>323</v>
      </c>
      <c r="E16" s="45"/>
      <c r="F16" s="44" t="s">
        <v>1</v>
      </c>
      <c r="G16" s="44" t="s">
        <v>32</v>
      </c>
      <c r="H16" s="25" t="s">
        <v>323</v>
      </c>
      <c r="I16" s="44"/>
      <c r="J16" s="49"/>
      <c r="K16" s="10"/>
      <c r="L16" s="5"/>
      <c r="M16" s="5"/>
      <c r="N16" s="5"/>
      <c r="O16" s="44"/>
      <c r="P16" s="44"/>
      <c r="Q16" s="44"/>
      <c r="R16" s="44"/>
      <c r="S16" s="44"/>
      <c r="T16" s="44"/>
      <c r="U16" s="44"/>
      <c r="V16" s="44"/>
      <c r="W16" s="44"/>
      <c r="X16" s="44"/>
      <c r="Y16" s="44"/>
      <c r="Z16" s="44"/>
      <c r="AA16" s="44"/>
      <c r="AB16" s="44"/>
      <c r="AC16" s="44"/>
      <c r="AD16" s="44"/>
      <c r="AE16" s="44"/>
      <c r="AF16" s="44"/>
      <c r="AG16" s="44"/>
      <c r="AH16" s="44"/>
    </row>
    <row r="17" spans="1:34" s="22" customFormat="1" ht="15" customHeight="1" thickTop="1" thickBot="1" x14ac:dyDescent="0.35">
      <c r="A17" s="29" t="s">
        <v>91</v>
      </c>
      <c r="B17" s="44"/>
      <c r="C17" s="52" t="s">
        <v>320</v>
      </c>
      <c r="D17" s="43">
        <f>SUMIF(C3:C14,C17,D3:D14)</f>
        <v>150</v>
      </c>
      <c r="E17" s="45"/>
      <c r="F17" s="52" t="s">
        <v>4</v>
      </c>
      <c r="G17" s="52" t="s">
        <v>34</v>
      </c>
      <c r="H17" s="48">
        <f>SUMIFS(H3:H14,F3:F14,F17,G3:G14,G17)</f>
        <v>20</v>
      </c>
      <c r="I17" s="44"/>
      <c r="J17" s="54"/>
      <c r="K17" s="6"/>
      <c r="L17" s="5"/>
      <c r="M17" s="5"/>
      <c r="N17" s="5"/>
      <c r="O17" s="44"/>
      <c r="P17" s="44"/>
      <c r="Q17" s="44"/>
      <c r="R17" s="44"/>
      <c r="S17" s="44"/>
      <c r="T17" s="44"/>
      <c r="U17" s="44"/>
      <c r="V17" s="44"/>
      <c r="W17" s="44"/>
      <c r="X17" s="44"/>
      <c r="Y17" s="44"/>
      <c r="Z17" s="44"/>
      <c r="AA17" s="44"/>
      <c r="AB17" s="44"/>
      <c r="AC17" s="44"/>
      <c r="AD17" s="44"/>
      <c r="AE17" s="44"/>
      <c r="AF17" s="44"/>
      <c r="AG17" s="44"/>
      <c r="AH17" s="44"/>
    </row>
    <row r="18" spans="1:34" s="22" customFormat="1" ht="15" customHeight="1" thickTop="1" x14ac:dyDescent="0.3">
      <c r="A18" s="29" t="s">
        <v>189</v>
      </c>
      <c r="B18" s="44"/>
      <c r="C18" s="44"/>
      <c r="D18" s="44"/>
      <c r="E18" s="45"/>
      <c r="F18" s="44"/>
      <c r="G18" s="44"/>
      <c r="H18" s="44"/>
      <c r="I18" s="44"/>
      <c r="J18" s="49"/>
      <c r="K18" s="50"/>
      <c r="L18" s="5"/>
      <c r="M18" s="5"/>
      <c r="N18" s="5"/>
      <c r="O18" s="44"/>
      <c r="P18" s="44"/>
      <c r="Q18" s="44"/>
      <c r="R18" s="44"/>
      <c r="S18" s="44"/>
      <c r="T18" s="44"/>
      <c r="U18" s="44"/>
      <c r="V18" s="44"/>
      <c r="W18" s="44"/>
      <c r="X18" s="44"/>
      <c r="Y18" s="44"/>
      <c r="Z18" s="44"/>
      <c r="AA18" s="44"/>
      <c r="AB18" s="44"/>
      <c r="AC18" s="44"/>
      <c r="AD18" s="44"/>
      <c r="AE18" s="44"/>
      <c r="AF18" s="44"/>
      <c r="AG18" s="44"/>
      <c r="AH18" s="44"/>
    </row>
    <row r="19" spans="1:34" s="22" customFormat="1" ht="15" customHeight="1" x14ac:dyDescent="0.3">
      <c r="A19" s="29" t="s">
        <v>190</v>
      </c>
      <c r="B19" s="44"/>
      <c r="C19" s="1"/>
      <c r="D19" s="1"/>
      <c r="E19" s="1"/>
      <c r="F19" s="1"/>
      <c r="G19" s="1"/>
      <c r="H19" s="1"/>
      <c r="I19" s="44"/>
      <c r="J19" s="49"/>
      <c r="K19" s="51"/>
      <c r="L19" s="5"/>
      <c r="M19" s="5"/>
      <c r="N19" s="44"/>
      <c r="O19" s="44"/>
      <c r="P19" s="44"/>
      <c r="Q19" s="44"/>
      <c r="R19" s="44"/>
      <c r="S19" s="44"/>
      <c r="T19" s="44"/>
      <c r="U19" s="44"/>
      <c r="V19" s="44"/>
      <c r="W19" s="44"/>
      <c r="X19" s="44"/>
      <c r="Y19" s="44"/>
      <c r="Z19" s="44"/>
      <c r="AA19" s="44"/>
      <c r="AB19" s="44"/>
      <c r="AC19" s="44"/>
      <c r="AD19" s="44"/>
      <c r="AE19" s="44"/>
      <c r="AF19" s="44"/>
      <c r="AG19" s="44"/>
      <c r="AH19" s="44"/>
    </row>
    <row r="20" spans="1:34" s="22" customFormat="1" ht="15" customHeight="1" x14ac:dyDescent="0.3">
      <c r="A20" s="29" t="s">
        <v>255</v>
      </c>
      <c r="B20" s="44"/>
      <c r="C20" s="1"/>
      <c r="D20" s="1"/>
      <c r="E20" s="1"/>
      <c r="F20" s="1"/>
      <c r="G20" s="1"/>
      <c r="H20" s="1"/>
      <c r="I20" s="44"/>
      <c r="J20" s="54"/>
      <c r="K20" s="10"/>
      <c r="L20" s="44"/>
      <c r="M20" s="5"/>
      <c r="N20" s="44"/>
      <c r="O20" s="44"/>
      <c r="P20" s="44"/>
      <c r="Q20" s="44"/>
      <c r="R20" s="44"/>
      <c r="S20" s="44"/>
      <c r="T20" s="44"/>
      <c r="U20" s="44"/>
      <c r="V20" s="44"/>
      <c r="W20" s="44"/>
      <c r="X20" s="44"/>
      <c r="Y20" s="44"/>
      <c r="Z20" s="44"/>
      <c r="AA20" s="44"/>
      <c r="AB20" s="44"/>
      <c r="AC20" s="44"/>
      <c r="AD20" s="44"/>
      <c r="AE20" s="44"/>
      <c r="AF20" s="44"/>
      <c r="AG20" s="44"/>
      <c r="AH20" s="44"/>
    </row>
    <row r="21" spans="1:34" s="22" customFormat="1" ht="15" customHeight="1" x14ac:dyDescent="0.3">
      <c r="A21" s="29" t="s">
        <v>191</v>
      </c>
      <c r="B21" s="44"/>
      <c r="C21" s="1"/>
      <c r="D21" s="1"/>
      <c r="E21" s="1"/>
      <c r="F21" s="1"/>
      <c r="G21" s="1"/>
      <c r="H21" s="1"/>
      <c r="I21" s="44"/>
      <c r="J21" s="54"/>
      <c r="K21" s="6"/>
      <c r="L21" s="44"/>
      <c r="M21" s="5"/>
      <c r="N21" s="44"/>
      <c r="O21" s="44"/>
      <c r="P21" s="44"/>
      <c r="Q21" s="44"/>
      <c r="R21" s="44"/>
      <c r="S21" s="44"/>
      <c r="T21" s="44"/>
      <c r="U21" s="44"/>
      <c r="V21" s="44"/>
      <c r="W21" s="44"/>
      <c r="X21" s="44"/>
      <c r="Y21" s="44"/>
      <c r="Z21" s="44"/>
      <c r="AA21" s="44"/>
      <c r="AB21" s="44"/>
      <c r="AC21" s="44"/>
      <c r="AD21" s="44"/>
      <c r="AE21" s="44"/>
      <c r="AF21" s="44"/>
      <c r="AG21" s="44"/>
      <c r="AH21" s="44"/>
    </row>
    <row r="22" spans="1:34" s="22" customFormat="1" ht="15" customHeight="1" x14ac:dyDescent="0.3">
      <c r="A22" s="29" t="s">
        <v>180</v>
      </c>
      <c r="B22" s="44"/>
      <c r="C22" s="1"/>
      <c r="D22" s="1"/>
      <c r="E22" s="1"/>
      <c r="F22" s="1"/>
      <c r="G22" s="1"/>
      <c r="H22" s="1"/>
      <c r="I22" s="44"/>
      <c r="J22" s="43"/>
      <c r="K22" s="6"/>
      <c r="L22" s="55"/>
      <c r="M22" s="5"/>
      <c r="N22" s="44"/>
      <c r="O22" s="44"/>
      <c r="P22" s="44"/>
      <c r="Q22" s="44"/>
      <c r="R22" s="44"/>
      <c r="S22" s="44"/>
      <c r="T22" s="44"/>
      <c r="U22" s="44"/>
      <c r="V22" s="44"/>
      <c r="W22" s="44"/>
      <c r="X22" s="44"/>
      <c r="Y22" s="44"/>
      <c r="Z22" s="44"/>
      <c r="AA22" s="44"/>
      <c r="AB22" s="44"/>
      <c r="AC22" s="44"/>
      <c r="AD22" s="44"/>
      <c r="AE22" s="44"/>
      <c r="AF22" s="44"/>
      <c r="AG22" s="44"/>
      <c r="AH22" s="44"/>
    </row>
    <row r="23" spans="1:34" s="22" customFormat="1" ht="15" customHeight="1" x14ac:dyDescent="0.3">
      <c r="A23" s="29" t="s">
        <v>181</v>
      </c>
      <c r="B23" s="44"/>
      <c r="C23" s="1"/>
      <c r="D23" s="1"/>
      <c r="E23" s="1"/>
      <c r="F23" s="1"/>
      <c r="G23" s="1"/>
      <c r="H23" s="1"/>
      <c r="I23" s="44"/>
      <c r="J23" s="43"/>
      <c r="K23" s="56"/>
      <c r="L23" s="55"/>
      <c r="M23" s="5"/>
      <c r="N23" s="44"/>
      <c r="O23" s="44"/>
      <c r="P23" s="44"/>
      <c r="Q23" s="44"/>
      <c r="R23" s="44"/>
      <c r="S23" s="44"/>
      <c r="T23" s="44"/>
      <c r="U23" s="44"/>
      <c r="V23" s="44"/>
      <c r="W23" s="44"/>
      <c r="X23" s="44"/>
      <c r="Y23" s="44"/>
      <c r="Z23" s="44"/>
      <c r="AA23" s="44"/>
      <c r="AB23" s="44"/>
      <c r="AC23" s="44"/>
      <c r="AD23" s="44"/>
      <c r="AE23" s="44"/>
      <c r="AF23" s="44"/>
      <c r="AG23" s="44"/>
      <c r="AH23" s="44"/>
    </row>
    <row r="24" spans="1:34" s="22" customFormat="1" ht="15" customHeight="1" x14ac:dyDescent="0.3">
      <c r="A24" s="31" t="s">
        <v>254</v>
      </c>
      <c r="B24" s="44"/>
      <c r="C24" s="1"/>
      <c r="D24" s="1"/>
      <c r="E24" s="1"/>
      <c r="F24" s="1"/>
      <c r="G24" s="1"/>
      <c r="H24" s="1"/>
      <c r="I24" s="44"/>
      <c r="J24" s="43"/>
      <c r="K24" s="44"/>
      <c r="L24" s="55"/>
      <c r="M24" s="5"/>
      <c r="N24" s="44"/>
      <c r="O24" s="44"/>
      <c r="P24" s="44"/>
      <c r="Q24" s="44"/>
      <c r="R24" s="44"/>
      <c r="S24" s="44"/>
      <c r="T24" s="44"/>
      <c r="U24" s="44"/>
      <c r="V24" s="44"/>
      <c r="W24" s="44"/>
      <c r="X24" s="44"/>
      <c r="Y24" s="44"/>
      <c r="Z24" s="44"/>
      <c r="AA24" s="44"/>
      <c r="AB24" s="44"/>
      <c r="AC24" s="44"/>
      <c r="AD24" s="44"/>
      <c r="AE24" s="44"/>
      <c r="AF24" s="44"/>
      <c r="AG24" s="44"/>
      <c r="AH24" s="43"/>
    </row>
    <row r="25" spans="1:34" s="22" customFormat="1" ht="15" customHeight="1" x14ac:dyDescent="0.3">
      <c r="A25" s="29" t="s">
        <v>192</v>
      </c>
      <c r="B25" s="44"/>
      <c r="C25" s="1"/>
      <c r="D25" s="1"/>
      <c r="E25" s="1"/>
      <c r="F25" s="1"/>
      <c r="G25" s="1"/>
      <c r="H25" s="1"/>
      <c r="I25" s="44"/>
      <c r="J25" s="43"/>
      <c r="K25" s="44"/>
      <c r="L25" s="55"/>
      <c r="M25" s="5"/>
      <c r="N25" s="44"/>
      <c r="O25" s="44"/>
      <c r="P25" s="44"/>
      <c r="Q25" s="44"/>
      <c r="R25" s="44"/>
      <c r="S25" s="44"/>
      <c r="T25" s="44"/>
      <c r="U25" s="44"/>
      <c r="V25" s="44"/>
      <c r="W25" s="44"/>
      <c r="X25" s="44"/>
      <c r="Y25" s="44"/>
      <c r="Z25" s="44"/>
      <c r="AA25" s="44"/>
      <c r="AB25" s="44"/>
      <c r="AC25" s="44"/>
      <c r="AD25" s="44"/>
      <c r="AE25" s="44"/>
      <c r="AF25" s="44"/>
      <c r="AG25" s="44"/>
      <c r="AH25" s="43"/>
    </row>
    <row r="26" spans="1:34" s="22" customFormat="1" ht="15" customHeight="1" x14ac:dyDescent="0.3">
      <c r="A26" s="29" t="s">
        <v>193</v>
      </c>
      <c r="B26" s="44"/>
      <c r="C26" s="1"/>
      <c r="D26" s="1"/>
      <c r="E26" s="1"/>
      <c r="F26" s="1"/>
      <c r="G26" s="1"/>
      <c r="H26" s="1"/>
      <c r="I26" s="44"/>
      <c r="J26" s="43"/>
      <c r="K26" s="44"/>
      <c r="L26" s="55"/>
      <c r="M26" s="5"/>
      <c r="N26" s="44"/>
      <c r="O26" s="44"/>
      <c r="P26" s="44"/>
      <c r="Q26" s="44"/>
      <c r="R26" s="44"/>
      <c r="S26" s="44"/>
      <c r="T26" s="44"/>
      <c r="U26" s="44"/>
      <c r="V26" s="44"/>
      <c r="W26" s="44"/>
      <c r="X26" s="44"/>
      <c r="Y26" s="44"/>
      <c r="Z26" s="44"/>
      <c r="AA26" s="44"/>
      <c r="AB26" s="44"/>
      <c r="AC26" s="44"/>
      <c r="AD26" s="44"/>
      <c r="AE26" s="44"/>
      <c r="AF26" s="44"/>
      <c r="AG26" s="44"/>
      <c r="AH26" s="43"/>
    </row>
    <row r="27" spans="1:34" s="22" customFormat="1" ht="15" customHeight="1" x14ac:dyDescent="0.3">
      <c r="A27" s="29" t="s">
        <v>186</v>
      </c>
      <c r="B27" s="44"/>
      <c r="C27" s="1"/>
      <c r="D27" s="1"/>
      <c r="E27" s="1"/>
      <c r="F27" s="1"/>
      <c r="G27" s="1"/>
      <c r="H27" s="1"/>
      <c r="I27" s="44"/>
      <c r="J27" s="43"/>
      <c r="K27" s="44"/>
      <c r="L27" s="55"/>
      <c r="M27" s="5"/>
      <c r="N27" s="44"/>
      <c r="O27" s="44"/>
      <c r="P27" s="44"/>
      <c r="Q27" s="44"/>
      <c r="R27" s="44"/>
      <c r="S27" s="44"/>
      <c r="T27" s="44"/>
      <c r="U27" s="44"/>
      <c r="V27" s="44"/>
      <c r="W27" s="44"/>
      <c r="X27" s="44"/>
      <c r="Y27" s="44"/>
      <c r="Z27" s="44"/>
      <c r="AA27" s="44"/>
      <c r="AB27" s="44"/>
      <c r="AC27" s="44"/>
      <c r="AD27" s="44"/>
      <c r="AE27" s="44"/>
      <c r="AF27" s="44"/>
      <c r="AG27" s="44"/>
      <c r="AH27" s="43"/>
    </row>
    <row r="28" spans="1:34" s="22" customFormat="1" ht="15" customHeight="1" x14ac:dyDescent="0.3">
      <c r="A28" s="29" t="s">
        <v>194</v>
      </c>
      <c r="B28" s="44"/>
      <c r="C28" s="1"/>
      <c r="D28" s="1"/>
      <c r="E28" s="1"/>
      <c r="F28" s="1"/>
      <c r="G28" s="1"/>
      <c r="H28" s="1"/>
      <c r="I28" s="44"/>
      <c r="J28" s="43"/>
      <c r="K28" s="44"/>
      <c r="L28" s="55"/>
      <c r="M28" s="44"/>
      <c r="N28" s="44"/>
      <c r="O28" s="44"/>
      <c r="P28" s="44"/>
      <c r="Q28" s="44"/>
      <c r="R28" s="44"/>
      <c r="S28" s="44"/>
      <c r="T28" s="44"/>
      <c r="U28" s="44"/>
      <c r="V28" s="44"/>
      <c r="W28" s="44"/>
      <c r="X28" s="44"/>
      <c r="Y28" s="44"/>
      <c r="Z28" s="44"/>
      <c r="AA28" s="44"/>
      <c r="AB28" s="44"/>
      <c r="AC28" s="44"/>
      <c r="AD28" s="44"/>
      <c r="AE28" s="44"/>
      <c r="AF28" s="44"/>
      <c r="AG28" s="44"/>
      <c r="AH28" s="43"/>
    </row>
    <row r="29" spans="1:34" s="22" customFormat="1" ht="15" customHeight="1" x14ac:dyDescent="0.3">
      <c r="A29" s="29" t="s">
        <v>195</v>
      </c>
      <c r="B29" s="44"/>
      <c r="C29" s="1"/>
      <c r="D29" s="1"/>
      <c r="E29" s="1"/>
      <c r="F29" s="1"/>
      <c r="G29" s="1"/>
      <c r="H29" s="1"/>
      <c r="I29" s="44"/>
      <c r="J29" s="43"/>
      <c r="K29" s="44"/>
      <c r="L29" s="55"/>
      <c r="M29" s="44"/>
      <c r="N29" s="44"/>
      <c r="O29" s="44"/>
      <c r="P29" s="44"/>
      <c r="Q29" s="44"/>
      <c r="R29" s="44"/>
      <c r="S29" s="44"/>
      <c r="T29" s="44"/>
      <c r="U29" s="44"/>
      <c r="V29" s="44"/>
      <c r="W29" s="44"/>
      <c r="X29" s="44"/>
      <c r="Y29" s="44"/>
      <c r="Z29" s="44"/>
      <c r="AA29" s="44"/>
      <c r="AB29" s="44"/>
      <c r="AC29" s="44"/>
      <c r="AD29" s="44"/>
      <c r="AE29" s="44"/>
      <c r="AF29" s="44"/>
      <c r="AG29" s="44"/>
      <c r="AH29" s="43"/>
    </row>
    <row r="30" spans="1:34" s="22" customFormat="1" ht="15" customHeight="1" x14ac:dyDescent="0.3">
      <c r="A30" s="29" t="s">
        <v>90</v>
      </c>
      <c r="B30" s="44"/>
      <c r="C30" s="1"/>
      <c r="D30" s="1"/>
      <c r="E30" s="1"/>
      <c r="F30" s="1"/>
      <c r="G30" s="1"/>
      <c r="H30" s="1"/>
      <c r="I30" s="44"/>
      <c r="J30" s="44"/>
      <c r="K30" s="44"/>
      <c r="L30" s="44"/>
      <c r="M30" s="44"/>
      <c r="N30" s="44"/>
      <c r="O30" s="44"/>
      <c r="P30" s="44"/>
      <c r="Q30" s="44"/>
      <c r="R30" s="44"/>
      <c r="S30" s="44"/>
      <c r="T30" s="44"/>
      <c r="U30" s="44"/>
      <c r="V30" s="44"/>
      <c r="W30" s="44"/>
      <c r="X30" s="44"/>
      <c r="Y30" s="44"/>
      <c r="Z30" s="44"/>
      <c r="AA30" s="44"/>
      <c r="AB30" s="43"/>
      <c r="AC30" s="44"/>
      <c r="AD30" s="43"/>
      <c r="AE30" s="44"/>
      <c r="AF30" s="44"/>
      <c r="AG30" s="44"/>
      <c r="AH30" s="43"/>
    </row>
    <row r="31" spans="1:34" s="22" customFormat="1" ht="15" customHeight="1" x14ac:dyDescent="0.3">
      <c r="A31" s="29" t="s">
        <v>101</v>
      </c>
      <c r="B31" s="44"/>
      <c r="C31" s="1"/>
      <c r="D31" s="1"/>
      <c r="E31" s="1"/>
      <c r="F31" s="1"/>
      <c r="G31" s="1"/>
      <c r="H31" s="1"/>
      <c r="I31" s="44"/>
      <c r="J31" s="44"/>
      <c r="K31" s="44"/>
      <c r="L31" s="44"/>
      <c r="M31" s="44"/>
      <c r="N31" s="5"/>
      <c r="O31" s="44"/>
      <c r="P31" s="44"/>
      <c r="Q31" s="44"/>
      <c r="R31" s="44"/>
      <c r="S31" s="44"/>
      <c r="T31" s="44"/>
      <c r="U31" s="44"/>
      <c r="V31" s="44"/>
      <c r="W31" s="44"/>
      <c r="X31" s="44"/>
      <c r="Y31" s="44"/>
      <c r="Z31" s="44"/>
      <c r="AA31" s="44"/>
      <c r="AB31" s="43"/>
      <c r="AC31" s="44"/>
      <c r="AD31" s="43"/>
      <c r="AE31" s="44"/>
      <c r="AF31" s="44"/>
      <c r="AG31" s="44"/>
      <c r="AH31" s="43"/>
    </row>
    <row r="32" spans="1:34" s="22" customFormat="1" ht="15" customHeight="1" x14ac:dyDescent="0.3">
      <c r="A32" s="26" t="s">
        <v>196</v>
      </c>
      <c r="B32" s="44"/>
      <c r="C32" s="1"/>
      <c r="D32" s="1"/>
      <c r="E32" s="1"/>
      <c r="F32" s="1"/>
      <c r="G32" s="1"/>
      <c r="H32" s="1"/>
      <c r="I32" s="44"/>
      <c r="J32" s="44"/>
      <c r="K32" s="44"/>
      <c r="L32" s="44"/>
      <c r="M32" s="44"/>
      <c r="N32" s="5"/>
      <c r="O32" s="44"/>
      <c r="P32" s="44"/>
      <c r="Q32" s="44"/>
      <c r="R32" s="44"/>
      <c r="S32" s="44"/>
      <c r="T32" s="44"/>
      <c r="U32" s="44"/>
      <c r="V32" s="44"/>
      <c r="W32" s="44"/>
      <c r="X32" s="44"/>
      <c r="Y32" s="44"/>
      <c r="Z32" s="44"/>
      <c r="AA32" s="44"/>
      <c r="AB32" s="43"/>
      <c r="AC32" s="44"/>
      <c r="AD32" s="43"/>
      <c r="AE32" s="44"/>
      <c r="AF32" s="44"/>
      <c r="AG32" s="44"/>
      <c r="AH32" s="43"/>
    </row>
    <row r="33" spans="1:34" s="22" customFormat="1" ht="15" customHeight="1" x14ac:dyDescent="0.3">
      <c r="A33" s="95" t="s">
        <v>256</v>
      </c>
      <c r="B33" s="44"/>
      <c r="C33" s="1"/>
      <c r="D33" s="1"/>
      <c r="E33" s="1"/>
      <c r="F33" s="1"/>
      <c r="G33" s="1"/>
      <c r="H33" s="1"/>
      <c r="I33" s="44"/>
      <c r="J33" s="44"/>
      <c r="K33" s="44"/>
      <c r="L33" s="44"/>
      <c r="M33" s="44"/>
      <c r="N33" s="44"/>
      <c r="O33" s="44"/>
      <c r="P33" s="44"/>
      <c r="Q33" s="44"/>
      <c r="R33" s="44"/>
      <c r="S33" s="44"/>
      <c r="T33" s="44"/>
      <c r="U33" s="44"/>
      <c r="V33" s="44"/>
      <c r="W33" s="44"/>
      <c r="X33" s="44"/>
      <c r="Y33" s="44"/>
      <c r="Z33" s="44"/>
      <c r="AA33" s="44"/>
      <c r="AB33" s="43"/>
      <c r="AC33" s="44"/>
      <c r="AD33" s="43"/>
      <c r="AE33" s="44"/>
      <c r="AF33" s="44"/>
      <c r="AG33" s="44"/>
      <c r="AH33" s="43"/>
    </row>
    <row r="34" spans="1:34" s="22" customFormat="1" ht="15" customHeight="1" x14ac:dyDescent="0.3">
      <c r="A34" s="26" t="s">
        <v>90</v>
      </c>
      <c r="B34" s="44"/>
      <c r="C34" s="1"/>
      <c r="D34" s="1"/>
      <c r="E34" s="1"/>
      <c r="F34" s="1"/>
      <c r="G34" s="1"/>
      <c r="H34" s="1"/>
      <c r="I34" s="44"/>
      <c r="J34" s="44"/>
      <c r="K34" s="44"/>
      <c r="L34" s="44"/>
      <c r="M34" s="44"/>
      <c r="N34" s="44"/>
      <c r="O34" s="44"/>
      <c r="P34" s="44"/>
      <c r="Q34" s="44"/>
      <c r="R34" s="44"/>
      <c r="S34" s="44"/>
      <c r="T34" s="44"/>
      <c r="U34" s="44"/>
      <c r="V34" s="44"/>
      <c r="W34" s="44"/>
      <c r="X34" s="44"/>
      <c r="Y34" s="44"/>
      <c r="Z34" s="44"/>
      <c r="AA34" s="44"/>
      <c r="AB34" s="43"/>
      <c r="AC34" s="44"/>
      <c r="AD34" s="43"/>
      <c r="AE34" s="44"/>
      <c r="AF34" s="44"/>
      <c r="AG34" s="44"/>
      <c r="AH34" s="43"/>
    </row>
    <row r="35" spans="1:34" s="22" customFormat="1" ht="15" customHeight="1" x14ac:dyDescent="0.3">
      <c r="A35" s="26" t="s">
        <v>101</v>
      </c>
      <c r="B35" s="44"/>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3"/>
      <c r="AC35" s="44"/>
      <c r="AD35" s="43"/>
      <c r="AE35" s="44"/>
      <c r="AF35" s="44"/>
      <c r="AG35" s="44"/>
      <c r="AH35" s="43"/>
    </row>
    <row r="36" spans="1:34" x14ac:dyDescent="0.3">
      <c r="A36" s="9" t="s">
        <v>197</v>
      </c>
      <c r="B36" s="9"/>
      <c r="C36" s="44"/>
      <c r="D36" s="44"/>
      <c r="E36" s="44"/>
      <c r="F36" s="44"/>
      <c r="G36" s="44"/>
      <c r="H36" s="44"/>
      <c r="I36" s="44"/>
      <c r="J36" s="44"/>
      <c r="K36" s="44"/>
      <c r="L36" s="44"/>
      <c r="M36" s="44"/>
      <c r="N36" s="44"/>
      <c r="O36" s="44"/>
      <c r="P36" s="44"/>
      <c r="Q36" s="43"/>
      <c r="R36" s="43"/>
      <c r="S36" s="43"/>
      <c r="T36" s="43"/>
      <c r="U36" s="43"/>
      <c r="V36" s="43"/>
      <c r="W36" s="43"/>
      <c r="X36" s="43"/>
      <c r="Y36" s="43"/>
      <c r="Z36" s="43"/>
      <c r="AA36" s="43"/>
      <c r="AB36" s="43"/>
      <c r="AC36" s="43"/>
      <c r="AD36" s="43"/>
      <c r="AE36" s="43"/>
      <c r="AF36" s="43"/>
      <c r="AG36" s="43"/>
      <c r="AH36" s="43"/>
    </row>
    <row r="37" spans="1:34" x14ac:dyDescent="0.3">
      <c r="A37" s="9" t="s">
        <v>198</v>
      </c>
      <c r="B37" s="9"/>
      <c r="C37" s="44"/>
      <c r="D37" s="44"/>
      <c r="E37" s="44"/>
      <c r="F37" s="44"/>
      <c r="G37" s="44"/>
      <c r="H37" s="44"/>
      <c r="I37" s="44"/>
      <c r="J37" s="44"/>
      <c r="K37" s="44"/>
      <c r="L37" s="44"/>
      <c r="M37" s="44"/>
      <c r="N37" s="44"/>
      <c r="O37" s="44"/>
      <c r="P37" s="44"/>
      <c r="Q37" s="43"/>
      <c r="R37" s="43"/>
      <c r="S37" s="43"/>
      <c r="T37" s="43"/>
      <c r="U37" s="43"/>
      <c r="V37" s="43"/>
      <c r="W37" s="43"/>
      <c r="X37" s="43"/>
      <c r="Y37" s="43"/>
      <c r="Z37" s="43"/>
      <c r="AA37" s="43"/>
      <c r="AB37" s="43"/>
      <c r="AC37" s="43"/>
      <c r="AD37" s="43"/>
      <c r="AE37" s="43"/>
      <c r="AF37" s="43"/>
      <c r="AG37" s="43"/>
      <c r="AH37" s="43"/>
    </row>
    <row r="38" spans="1:34" x14ac:dyDescent="0.3">
      <c r="A38" s="9">
        <f>SUMIF(D118:D122,"&gt;=50")</f>
        <v>200</v>
      </c>
      <c r="B38" s="9"/>
      <c r="C38" s="44"/>
      <c r="D38" s="44"/>
      <c r="E38" s="44"/>
      <c r="F38" s="44"/>
      <c r="G38" s="44"/>
      <c r="H38" s="44"/>
      <c r="I38" s="44"/>
      <c r="J38" s="44"/>
      <c r="K38" s="44"/>
      <c r="L38" s="44"/>
      <c r="M38" s="44"/>
      <c r="N38" s="44"/>
      <c r="O38" s="44"/>
      <c r="P38" s="44"/>
      <c r="Q38" s="43"/>
      <c r="R38" s="43"/>
      <c r="S38" s="43"/>
      <c r="T38" s="43"/>
      <c r="U38" s="43"/>
      <c r="V38" s="43"/>
      <c r="W38" s="43"/>
      <c r="X38" s="43"/>
      <c r="Y38" s="43"/>
      <c r="Z38" s="43"/>
      <c r="AA38" s="43"/>
      <c r="AB38" s="43"/>
      <c r="AC38" s="43"/>
      <c r="AD38" s="43"/>
      <c r="AE38" s="43"/>
      <c r="AF38" s="43"/>
      <c r="AG38" s="43"/>
      <c r="AH38" s="43"/>
    </row>
    <row r="39" spans="1:34" x14ac:dyDescent="0.3">
      <c r="A39" s="9" t="s">
        <v>199</v>
      </c>
      <c r="B39" s="9"/>
      <c r="C39" s="44"/>
      <c r="D39" s="44"/>
      <c r="E39" s="44"/>
      <c r="F39" s="44"/>
      <c r="G39" s="44"/>
      <c r="H39" s="44"/>
      <c r="I39" s="44"/>
      <c r="J39" s="44"/>
      <c r="K39" s="44"/>
      <c r="L39" s="44"/>
      <c r="M39" s="44"/>
      <c r="N39" s="44"/>
      <c r="O39" s="44"/>
      <c r="P39" s="44"/>
      <c r="Q39" s="43"/>
      <c r="R39" s="43"/>
      <c r="S39" s="43"/>
      <c r="T39" s="43"/>
      <c r="U39" s="43"/>
      <c r="V39" s="43"/>
      <c r="W39" s="43"/>
      <c r="X39" s="43"/>
      <c r="Y39" s="43"/>
      <c r="Z39" s="43"/>
      <c r="AA39" s="43"/>
      <c r="AB39" s="43"/>
      <c r="AC39" s="43"/>
      <c r="AD39" s="43"/>
      <c r="AE39" s="43"/>
      <c r="AF39" s="43"/>
      <c r="AG39" s="43"/>
      <c r="AH39" s="43"/>
    </row>
    <row r="40" spans="1:34" x14ac:dyDescent="0.3">
      <c r="A40" s="9" t="s">
        <v>200</v>
      </c>
      <c r="B40" s="9"/>
      <c r="C40" s="44"/>
      <c r="D40" s="44"/>
      <c r="E40" s="44"/>
      <c r="F40" s="44"/>
      <c r="G40" s="44"/>
      <c r="H40" s="44"/>
      <c r="I40" s="44"/>
      <c r="J40" s="44"/>
      <c r="K40" s="44"/>
      <c r="L40" s="44"/>
      <c r="M40" s="44"/>
      <c r="N40" s="44"/>
      <c r="O40" s="44"/>
      <c r="P40" s="44"/>
      <c r="Q40" s="43"/>
      <c r="R40" s="43"/>
      <c r="S40" s="43"/>
      <c r="T40" s="43"/>
      <c r="U40" s="43"/>
      <c r="V40" s="43"/>
      <c r="W40" s="43"/>
      <c r="X40" s="43"/>
      <c r="Y40" s="43"/>
      <c r="Z40" s="43"/>
      <c r="AA40" s="43"/>
      <c r="AB40" s="43"/>
      <c r="AC40" s="43"/>
      <c r="AD40" s="43"/>
      <c r="AE40" s="43"/>
      <c r="AF40" s="43"/>
      <c r="AG40" s="43"/>
      <c r="AH40" s="43"/>
    </row>
    <row r="41" spans="1:34" x14ac:dyDescent="0.3">
      <c r="A41" s="9" t="s">
        <v>201</v>
      </c>
      <c r="B41" s="9"/>
      <c r="C41" s="44"/>
      <c r="D41" s="44"/>
      <c r="E41" s="44"/>
      <c r="F41" s="44"/>
      <c r="G41" s="44"/>
      <c r="H41" s="44"/>
      <c r="I41" s="44"/>
      <c r="J41" s="44"/>
      <c r="K41" s="44"/>
      <c r="L41" s="44"/>
      <c r="M41" s="44"/>
      <c r="N41" s="44"/>
      <c r="O41" s="44"/>
      <c r="P41" s="44"/>
      <c r="Q41" s="43"/>
      <c r="R41" s="43"/>
      <c r="S41" s="43"/>
      <c r="T41" s="43"/>
      <c r="U41" s="43"/>
      <c r="V41" s="43"/>
      <c r="W41" s="43"/>
      <c r="X41" s="43"/>
      <c r="Y41" s="43"/>
      <c r="Z41" s="43"/>
      <c r="AA41" s="43"/>
      <c r="AB41" s="43"/>
      <c r="AC41" s="43"/>
      <c r="AD41" s="43"/>
      <c r="AE41" s="43"/>
      <c r="AF41" s="43"/>
      <c r="AG41" s="43"/>
      <c r="AH41" s="43"/>
    </row>
    <row r="42" spans="1:34" x14ac:dyDescent="0.3">
      <c r="A42" s="9" t="s">
        <v>202</v>
      </c>
      <c r="B42" s="9"/>
      <c r="C42" s="44"/>
      <c r="D42" s="44"/>
      <c r="E42" s="44"/>
      <c r="F42" s="44"/>
      <c r="G42" s="44"/>
      <c r="H42" s="44"/>
      <c r="I42" s="44"/>
      <c r="J42" s="44"/>
      <c r="K42" s="44"/>
      <c r="L42" s="44"/>
      <c r="M42" s="44"/>
      <c r="N42" s="44"/>
      <c r="O42" s="44"/>
      <c r="P42" s="44"/>
      <c r="Q42" s="43"/>
      <c r="R42" s="43"/>
      <c r="S42" s="43"/>
      <c r="T42" s="43"/>
      <c r="U42" s="43"/>
      <c r="V42" s="43"/>
      <c r="W42" s="43"/>
      <c r="X42" s="43"/>
      <c r="Y42" s="43"/>
      <c r="Z42" s="43"/>
      <c r="AA42" s="43"/>
      <c r="AB42" s="43"/>
      <c r="AC42" s="43"/>
      <c r="AD42" s="43"/>
      <c r="AE42" s="43"/>
      <c r="AF42" s="43"/>
      <c r="AG42" s="43"/>
      <c r="AH42" s="43"/>
    </row>
    <row r="43" spans="1:34" x14ac:dyDescent="0.3">
      <c r="A43" s="9" t="s">
        <v>18</v>
      </c>
      <c r="B43" s="9"/>
      <c r="C43" s="44"/>
      <c r="D43" s="44"/>
      <c r="E43" s="44"/>
      <c r="F43" s="44"/>
      <c r="G43" s="44"/>
      <c r="H43" s="44"/>
      <c r="I43" s="44"/>
      <c r="J43" s="44"/>
      <c r="K43" s="44"/>
      <c r="L43" s="44"/>
      <c r="M43" s="44"/>
      <c r="N43" s="44"/>
      <c r="O43" s="44"/>
      <c r="P43" s="44"/>
      <c r="Q43" s="43"/>
      <c r="R43" s="43"/>
      <c r="S43" s="43"/>
      <c r="T43" s="43"/>
      <c r="U43" s="43"/>
      <c r="V43" s="43"/>
      <c r="W43" s="43"/>
      <c r="X43" s="43"/>
      <c r="Y43" s="43"/>
      <c r="Z43" s="43"/>
      <c r="AA43" s="43"/>
      <c r="AB43" s="43"/>
      <c r="AC43" s="43"/>
      <c r="AD43" s="43"/>
      <c r="AE43" s="43"/>
      <c r="AF43" s="43"/>
      <c r="AG43" s="43"/>
      <c r="AH43" s="43"/>
    </row>
    <row r="44" spans="1:34" x14ac:dyDescent="0.3">
      <c r="A44" s="9" t="s">
        <v>19</v>
      </c>
      <c r="B44" s="9"/>
      <c r="C44" s="44"/>
      <c r="D44" s="44"/>
      <c r="E44" s="44"/>
      <c r="F44" s="44"/>
      <c r="G44" s="44"/>
      <c r="H44" s="44"/>
      <c r="I44" s="44"/>
      <c r="J44" s="44"/>
      <c r="K44" s="44"/>
      <c r="L44" s="44"/>
      <c r="M44" s="44"/>
      <c r="N44" s="44"/>
      <c r="O44" s="44"/>
      <c r="P44" s="44"/>
      <c r="Q44" s="43"/>
      <c r="R44" s="43"/>
      <c r="S44" s="43"/>
      <c r="T44" s="43"/>
      <c r="U44" s="43"/>
      <c r="V44" s="43"/>
      <c r="W44" s="43"/>
      <c r="X44" s="43"/>
      <c r="Y44" s="43"/>
      <c r="Z44" s="43"/>
      <c r="AA44" s="43"/>
      <c r="AB44" s="43"/>
      <c r="AC44" s="43"/>
      <c r="AD44" s="43"/>
      <c r="AE44" s="43"/>
      <c r="AF44" s="43"/>
      <c r="AG44" s="43"/>
      <c r="AH44" s="43"/>
    </row>
    <row r="45" spans="1:34" x14ac:dyDescent="0.3">
      <c r="A45" s="9" t="s">
        <v>203</v>
      </c>
      <c r="B45" s="9"/>
      <c r="C45" s="44"/>
      <c r="D45" s="44"/>
      <c r="E45" s="44"/>
      <c r="F45" s="44"/>
      <c r="G45" s="44"/>
      <c r="H45" s="44"/>
      <c r="I45" s="44"/>
      <c r="J45" s="44"/>
      <c r="K45" s="44"/>
      <c r="L45" s="44"/>
      <c r="M45" s="44"/>
      <c r="N45" s="44"/>
      <c r="O45" s="44"/>
      <c r="P45" s="44"/>
      <c r="Q45" s="43"/>
      <c r="R45" s="43"/>
      <c r="S45" s="43"/>
      <c r="T45" s="43"/>
      <c r="U45" s="43"/>
      <c r="V45" s="43"/>
      <c r="W45" s="43"/>
      <c r="X45" s="43"/>
      <c r="Y45" s="43"/>
      <c r="Z45" s="43"/>
      <c r="AA45" s="43"/>
      <c r="AB45" s="43"/>
      <c r="AC45" s="43"/>
      <c r="AD45" s="43"/>
      <c r="AE45" s="43"/>
      <c r="AF45" s="43"/>
      <c r="AG45" s="43"/>
      <c r="AH45" s="43"/>
    </row>
    <row r="46" spans="1:34" x14ac:dyDescent="0.3">
      <c r="A46" s="9" t="s">
        <v>204</v>
      </c>
      <c r="B46" s="9"/>
      <c r="C46" s="44"/>
      <c r="D46" s="44"/>
      <c r="E46" s="44"/>
      <c r="F46" s="44"/>
      <c r="G46" s="44"/>
      <c r="H46" s="44"/>
      <c r="I46" s="44"/>
      <c r="J46" s="44"/>
      <c r="K46" s="44"/>
      <c r="L46" s="44"/>
      <c r="M46" s="44"/>
      <c r="N46" s="44"/>
      <c r="O46" s="44"/>
      <c r="P46" s="44"/>
      <c r="Q46" s="43"/>
      <c r="R46" s="43"/>
      <c r="S46" s="43"/>
      <c r="T46" s="43"/>
      <c r="U46" s="43"/>
      <c r="V46" s="43"/>
      <c r="W46" s="43"/>
      <c r="X46" s="43"/>
      <c r="Y46" s="43"/>
      <c r="Z46" s="43"/>
      <c r="AA46" s="43"/>
      <c r="AB46" s="43"/>
      <c r="AC46" s="43"/>
      <c r="AD46" s="43"/>
      <c r="AE46" s="43"/>
      <c r="AF46" s="43"/>
      <c r="AG46" s="43"/>
      <c r="AH46" s="43"/>
    </row>
    <row r="47" spans="1:34" x14ac:dyDescent="0.3">
      <c r="A47" s="9" t="s">
        <v>205</v>
      </c>
      <c r="B47" s="9"/>
      <c r="C47" s="44"/>
      <c r="D47" s="44"/>
      <c r="E47" s="44"/>
      <c r="F47" s="44"/>
      <c r="G47" s="44"/>
      <c r="H47" s="44"/>
      <c r="I47" s="44"/>
      <c r="J47" s="44"/>
      <c r="K47" s="44"/>
      <c r="L47" s="44"/>
      <c r="M47" s="44"/>
      <c r="N47" s="44"/>
      <c r="O47" s="44"/>
      <c r="P47" s="44"/>
      <c r="Q47" s="43"/>
      <c r="R47" s="43"/>
      <c r="S47" s="43"/>
      <c r="T47" s="43"/>
      <c r="U47" s="43"/>
      <c r="V47" s="43"/>
      <c r="W47" s="43"/>
      <c r="X47" s="43"/>
      <c r="Y47" s="43"/>
      <c r="Z47" s="43"/>
      <c r="AA47" s="43"/>
      <c r="AB47" s="43"/>
      <c r="AC47" s="43"/>
      <c r="AD47" s="43"/>
      <c r="AE47" s="43"/>
      <c r="AF47" s="43"/>
      <c r="AG47" s="43"/>
      <c r="AH47" s="43"/>
    </row>
    <row r="48" spans="1:34" x14ac:dyDescent="0.3">
      <c r="A48" s="9" t="s">
        <v>206</v>
      </c>
      <c r="B48" s="9"/>
      <c r="C48" s="44"/>
      <c r="D48" s="44"/>
      <c r="E48" s="44"/>
      <c r="F48" s="44"/>
      <c r="G48" s="44"/>
      <c r="H48" s="44"/>
      <c r="I48" s="44"/>
      <c r="J48" s="44"/>
      <c r="K48" s="44"/>
      <c r="L48" s="44"/>
      <c r="M48" s="44"/>
      <c r="N48" s="44"/>
      <c r="O48" s="44"/>
      <c r="P48" s="44"/>
      <c r="Q48" s="43"/>
      <c r="R48" s="43"/>
      <c r="S48" s="43"/>
      <c r="T48" s="43"/>
      <c r="U48" s="43"/>
      <c r="V48" s="43"/>
      <c r="W48" s="43"/>
      <c r="X48" s="43"/>
      <c r="Y48" s="43"/>
      <c r="Z48" s="43"/>
      <c r="AA48" s="43"/>
      <c r="AB48" s="43"/>
      <c r="AC48" s="43"/>
      <c r="AD48" s="43"/>
      <c r="AE48" s="43"/>
      <c r="AF48" s="43"/>
      <c r="AG48" s="43"/>
      <c r="AH48" s="43"/>
    </row>
    <row r="49" spans="1:34" x14ac:dyDescent="0.3">
      <c r="A49" s="9" t="s">
        <v>207</v>
      </c>
      <c r="B49" s="9"/>
      <c r="C49" s="7" t="s">
        <v>322</v>
      </c>
      <c r="D49" s="8" t="s">
        <v>291</v>
      </c>
      <c r="E49" s="45"/>
      <c r="F49" s="7" t="s">
        <v>322</v>
      </c>
      <c r="G49" s="7" t="s">
        <v>32</v>
      </c>
      <c r="H49" s="8" t="s">
        <v>2</v>
      </c>
      <c r="I49" s="44"/>
      <c r="J49" s="44"/>
      <c r="K49" s="44"/>
      <c r="L49" s="44"/>
      <c r="M49" s="44"/>
      <c r="N49" s="44"/>
      <c r="O49" s="44"/>
      <c r="P49" s="44"/>
      <c r="Q49" s="43"/>
      <c r="R49" s="43"/>
      <c r="S49" s="43"/>
      <c r="T49" s="43"/>
      <c r="U49" s="43"/>
      <c r="V49" s="43"/>
      <c r="W49" s="43"/>
      <c r="X49" s="43"/>
      <c r="Y49" s="43"/>
      <c r="Z49" s="43"/>
      <c r="AA49" s="43"/>
      <c r="AB49" s="43"/>
      <c r="AC49" s="43"/>
      <c r="AD49" s="43"/>
      <c r="AE49" s="43"/>
      <c r="AF49" s="43"/>
      <c r="AG49" s="43"/>
      <c r="AH49" s="43"/>
    </row>
    <row r="50" spans="1:34" x14ac:dyDescent="0.3">
      <c r="A50" s="9" t="s">
        <v>208</v>
      </c>
      <c r="B50" s="9"/>
      <c r="C50" s="141" t="s">
        <v>320</v>
      </c>
      <c r="D50" s="47">
        <v>50</v>
      </c>
      <c r="E50" s="45"/>
      <c r="F50" s="141" t="s">
        <v>320</v>
      </c>
      <c r="G50" s="46" t="s">
        <v>33</v>
      </c>
      <c r="H50" s="47">
        <v>50</v>
      </c>
      <c r="I50" s="44"/>
      <c r="J50" s="44"/>
      <c r="K50" s="44"/>
      <c r="L50" s="44"/>
      <c r="M50" s="44"/>
      <c r="N50" s="44"/>
      <c r="O50" s="44"/>
      <c r="P50" s="44"/>
      <c r="Q50" s="43"/>
      <c r="R50" s="43"/>
      <c r="S50" s="43"/>
      <c r="T50" s="43"/>
      <c r="U50" s="43"/>
      <c r="V50" s="43"/>
      <c r="W50" s="43"/>
      <c r="X50" s="43"/>
      <c r="Y50" s="43"/>
      <c r="Z50" s="43"/>
      <c r="AA50" s="43"/>
      <c r="AB50" s="43"/>
      <c r="AC50" s="43"/>
      <c r="AD50" s="43"/>
      <c r="AE50" s="43"/>
      <c r="AF50" s="43"/>
      <c r="AG50" s="43"/>
      <c r="AH50" s="43"/>
    </row>
    <row r="51" spans="1:34" x14ac:dyDescent="0.3">
      <c r="A51" s="9" t="s">
        <v>209</v>
      </c>
      <c r="B51" s="9"/>
      <c r="C51" s="46" t="s">
        <v>4</v>
      </c>
      <c r="D51" s="47">
        <v>20</v>
      </c>
      <c r="E51" s="45"/>
      <c r="F51" s="46" t="s">
        <v>4</v>
      </c>
      <c r="G51" s="46" t="s">
        <v>34</v>
      </c>
      <c r="H51" s="47">
        <v>20</v>
      </c>
      <c r="I51" s="44"/>
      <c r="J51" s="44"/>
      <c r="K51" s="44"/>
      <c r="L51" s="44"/>
      <c r="M51" s="44"/>
      <c r="N51" s="44"/>
      <c r="O51" s="44"/>
      <c r="P51" s="44"/>
      <c r="Q51" s="43"/>
      <c r="R51" s="43"/>
      <c r="S51" s="43"/>
      <c r="T51" s="43"/>
      <c r="U51" s="43"/>
      <c r="V51" s="43"/>
      <c r="W51" s="43"/>
      <c r="X51" s="43"/>
      <c r="Y51" s="43"/>
      <c r="Z51" s="43"/>
      <c r="AA51" s="43"/>
      <c r="AB51" s="43"/>
      <c r="AC51" s="43"/>
      <c r="AD51" s="43"/>
      <c r="AE51" s="43"/>
      <c r="AF51" s="43"/>
      <c r="AG51" s="43"/>
      <c r="AH51" s="43"/>
    </row>
    <row r="52" spans="1:34" x14ac:dyDescent="0.3">
      <c r="A52" s="9" t="s">
        <v>210</v>
      </c>
      <c r="B52" s="9"/>
      <c r="C52" s="141" t="s">
        <v>276</v>
      </c>
      <c r="D52" s="47">
        <v>60</v>
      </c>
      <c r="E52" s="45"/>
      <c r="F52" s="141" t="s">
        <v>276</v>
      </c>
      <c r="G52" s="46" t="s">
        <v>35</v>
      </c>
      <c r="H52" s="47">
        <v>60</v>
      </c>
      <c r="I52" s="44"/>
      <c r="J52" s="44"/>
      <c r="K52" s="44"/>
      <c r="L52" s="44"/>
      <c r="M52" s="44"/>
      <c r="N52" s="44"/>
      <c r="O52" s="44"/>
      <c r="P52" s="44"/>
      <c r="Q52" s="43"/>
      <c r="R52" s="43"/>
      <c r="S52" s="43"/>
      <c r="T52" s="43"/>
      <c r="U52" s="43"/>
      <c r="V52" s="43"/>
      <c r="W52" s="43"/>
      <c r="X52" s="43"/>
      <c r="Y52" s="43"/>
      <c r="Z52" s="43"/>
      <c r="AA52" s="43"/>
      <c r="AB52" s="43"/>
      <c r="AC52" s="43"/>
      <c r="AD52" s="43"/>
      <c r="AE52" s="43"/>
      <c r="AF52" s="43"/>
      <c r="AG52" s="43"/>
      <c r="AH52" s="43"/>
    </row>
    <row r="53" spans="1:34" x14ac:dyDescent="0.3">
      <c r="A53" s="9" t="s">
        <v>21</v>
      </c>
      <c r="B53" s="9"/>
      <c r="C53" s="141" t="s">
        <v>277</v>
      </c>
      <c r="D53" s="47">
        <v>40</v>
      </c>
      <c r="E53" s="45"/>
      <c r="F53" s="141" t="s">
        <v>277</v>
      </c>
      <c r="G53" s="46" t="s">
        <v>36</v>
      </c>
      <c r="H53" s="47">
        <v>40</v>
      </c>
      <c r="I53" s="44"/>
      <c r="J53" s="44"/>
      <c r="K53" s="44"/>
      <c r="L53" s="44"/>
      <c r="M53" s="44"/>
      <c r="N53" s="44"/>
      <c r="O53" s="44"/>
      <c r="P53" s="44"/>
      <c r="Q53" s="43"/>
      <c r="R53" s="43"/>
      <c r="S53" s="43"/>
      <c r="T53" s="43"/>
      <c r="U53" s="43"/>
      <c r="V53" s="43"/>
      <c r="W53" s="43"/>
      <c r="X53" s="43"/>
      <c r="Y53" s="43"/>
      <c r="Z53" s="43"/>
      <c r="AA53" s="43"/>
      <c r="AB53" s="43"/>
      <c r="AC53" s="43"/>
      <c r="AD53" s="43"/>
      <c r="AE53" s="43"/>
      <c r="AF53" s="43"/>
      <c r="AG53" s="43"/>
      <c r="AH53" s="43"/>
    </row>
    <row r="54" spans="1:34" x14ac:dyDescent="0.3">
      <c r="A54" s="9" t="s">
        <v>119</v>
      </c>
      <c r="B54" s="9"/>
      <c r="C54" s="141" t="s">
        <v>320</v>
      </c>
      <c r="D54" s="47">
        <v>50</v>
      </c>
      <c r="E54" s="45"/>
      <c r="F54" s="141" t="s">
        <v>320</v>
      </c>
      <c r="G54" s="46" t="s">
        <v>37</v>
      </c>
      <c r="H54" s="47">
        <v>50</v>
      </c>
      <c r="I54" s="44"/>
      <c r="J54" s="44"/>
      <c r="K54" s="44"/>
      <c r="L54" s="44"/>
      <c r="M54" s="44"/>
      <c r="N54" s="44"/>
      <c r="O54" s="44"/>
      <c r="P54" s="44"/>
      <c r="Q54" s="43"/>
      <c r="R54" s="43"/>
      <c r="S54" s="43"/>
      <c r="T54" s="43"/>
      <c r="U54" s="43"/>
      <c r="V54" s="43"/>
      <c r="W54" s="43"/>
      <c r="X54" s="43"/>
      <c r="Y54" s="43"/>
      <c r="Z54" s="43"/>
      <c r="AA54" s="43"/>
      <c r="AB54" s="43"/>
      <c r="AC54" s="43"/>
      <c r="AD54" s="43"/>
      <c r="AE54" s="43"/>
      <c r="AF54" s="43"/>
      <c r="AG54" s="43"/>
      <c r="AH54" s="43"/>
    </row>
    <row r="55" spans="1:34" x14ac:dyDescent="0.3">
      <c r="A55" s="9" t="s">
        <v>101</v>
      </c>
      <c r="B55" s="9"/>
      <c r="C55" s="46" t="s">
        <v>4</v>
      </c>
      <c r="D55" s="47">
        <v>20</v>
      </c>
      <c r="E55" s="45"/>
      <c r="F55" s="46" t="s">
        <v>4</v>
      </c>
      <c r="G55" s="46" t="s">
        <v>38</v>
      </c>
      <c r="H55" s="47">
        <v>20</v>
      </c>
      <c r="I55" s="44"/>
      <c r="J55" s="44"/>
      <c r="K55" s="44"/>
      <c r="L55" s="44"/>
      <c r="M55" s="44"/>
      <c r="N55" s="44"/>
      <c r="O55" s="44"/>
      <c r="P55" s="44"/>
      <c r="Q55" s="43"/>
      <c r="R55" s="43"/>
      <c r="S55" s="43"/>
      <c r="T55" s="43"/>
      <c r="U55" s="43"/>
      <c r="V55" s="43"/>
      <c r="W55" s="43"/>
      <c r="X55" s="43"/>
      <c r="Y55" s="43"/>
      <c r="Z55" s="43"/>
      <c r="AA55" s="43"/>
      <c r="AB55" s="43"/>
      <c r="AC55" s="43"/>
      <c r="AD55" s="43"/>
      <c r="AE55" s="43"/>
      <c r="AF55" s="43"/>
      <c r="AG55" s="43"/>
      <c r="AH55" s="43"/>
    </row>
    <row r="56" spans="1:34" x14ac:dyDescent="0.3">
      <c r="B56" s="9"/>
      <c r="C56" s="141" t="s">
        <v>276</v>
      </c>
      <c r="D56" s="47">
        <v>60</v>
      </c>
      <c r="E56" s="45"/>
      <c r="F56" s="141" t="s">
        <v>276</v>
      </c>
      <c r="G56" s="46" t="s">
        <v>39</v>
      </c>
      <c r="H56" s="47">
        <v>60</v>
      </c>
      <c r="I56" s="44"/>
      <c r="J56" s="44"/>
      <c r="K56" s="44"/>
      <c r="L56" s="44"/>
      <c r="M56" s="44"/>
      <c r="N56" s="44"/>
      <c r="O56" s="44"/>
      <c r="P56" s="44"/>
      <c r="Q56" s="43"/>
      <c r="R56" s="43"/>
      <c r="S56" s="43"/>
      <c r="T56" s="43"/>
      <c r="U56" s="43"/>
      <c r="V56" s="43"/>
      <c r="W56" s="43"/>
      <c r="X56" s="43"/>
      <c r="Y56" s="43"/>
      <c r="Z56" s="43"/>
      <c r="AA56" s="43"/>
      <c r="AB56" s="43"/>
      <c r="AC56" s="43"/>
      <c r="AD56" s="43"/>
      <c r="AE56" s="43"/>
      <c r="AF56" s="43"/>
      <c r="AG56" s="43"/>
      <c r="AH56" s="43"/>
    </row>
    <row r="57" spans="1:34" x14ac:dyDescent="0.3">
      <c r="B57" s="9"/>
      <c r="C57" s="141" t="s">
        <v>277</v>
      </c>
      <c r="D57" s="47">
        <v>40</v>
      </c>
      <c r="E57" s="45"/>
      <c r="F57" s="141" t="s">
        <v>277</v>
      </c>
      <c r="G57" s="46" t="s">
        <v>40</v>
      </c>
      <c r="H57" s="47">
        <v>40</v>
      </c>
      <c r="I57" s="44"/>
      <c r="J57" s="44"/>
      <c r="K57" s="44"/>
      <c r="L57" s="44"/>
      <c r="M57" s="44"/>
      <c r="N57" s="44"/>
      <c r="O57" s="44"/>
      <c r="P57" s="44"/>
      <c r="Q57" s="43"/>
      <c r="R57" s="43"/>
      <c r="S57" s="43"/>
      <c r="T57" s="43"/>
      <c r="U57" s="43"/>
      <c r="V57" s="43"/>
      <c r="W57" s="43"/>
      <c r="X57" s="43"/>
      <c r="Y57" s="43"/>
      <c r="Z57" s="43"/>
      <c r="AA57" s="43"/>
      <c r="AB57" s="43"/>
      <c r="AC57" s="43"/>
      <c r="AD57" s="43"/>
      <c r="AE57" s="43"/>
      <c r="AF57" s="43"/>
      <c r="AG57" s="43"/>
      <c r="AH57" s="43"/>
    </row>
    <row r="58" spans="1:34" x14ac:dyDescent="0.3">
      <c r="B58" s="9"/>
      <c r="C58" s="141" t="s">
        <v>320</v>
      </c>
      <c r="D58" s="47">
        <v>50</v>
      </c>
      <c r="E58" s="45"/>
      <c r="F58" s="141" t="s">
        <v>320</v>
      </c>
      <c r="G58" s="46" t="s">
        <v>37</v>
      </c>
      <c r="H58" s="47">
        <v>50</v>
      </c>
      <c r="I58" s="44"/>
      <c r="J58" s="44"/>
      <c r="K58" s="44"/>
      <c r="L58" s="44"/>
      <c r="M58" s="44"/>
      <c r="N58" s="44"/>
      <c r="O58" s="44"/>
      <c r="P58" s="44"/>
      <c r="Q58" s="43"/>
      <c r="R58" s="43"/>
      <c r="S58" s="43"/>
      <c r="T58" s="43"/>
      <c r="U58" s="43"/>
      <c r="V58" s="43"/>
      <c r="W58" s="43"/>
      <c r="X58" s="43"/>
      <c r="Y58" s="43"/>
      <c r="Z58" s="43"/>
      <c r="AA58" s="43"/>
      <c r="AB58" s="43"/>
      <c r="AC58" s="43"/>
      <c r="AD58" s="43"/>
      <c r="AE58" s="43"/>
      <c r="AF58" s="43"/>
      <c r="AG58" s="43"/>
      <c r="AH58" s="43"/>
    </row>
    <row r="59" spans="1:34" x14ac:dyDescent="0.3">
      <c r="B59" s="9"/>
      <c r="C59" s="46" t="s">
        <v>4</v>
      </c>
      <c r="D59" s="47">
        <v>20</v>
      </c>
      <c r="E59" s="45"/>
      <c r="F59" s="46" t="s">
        <v>4</v>
      </c>
      <c r="G59" s="46" t="s">
        <v>38</v>
      </c>
      <c r="H59" s="47">
        <v>20</v>
      </c>
      <c r="I59" s="44"/>
      <c r="J59" s="44"/>
      <c r="K59" s="44"/>
      <c r="L59" s="44"/>
      <c r="M59" s="44"/>
      <c r="N59" s="44"/>
      <c r="O59" s="44"/>
      <c r="P59" s="44"/>
      <c r="Q59" s="43"/>
      <c r="R59" s="43"/>
      <c r="S59" s="43"/>
      <c r="T59" s="43"/>
      <c r="U59" s="43"/>
      <c r="V59" s="43"/>
      <c r="W59" s="43"/>
      <c r="X59" s="43"/>
      <c r="Y59" s="43"/>
      <c r="Z59" s="43"/>
      <c r="AA59" s="43"/>
      <c r="AB59" s="43"/>
      <c r="AC59" s="43"/>
      <c r="AD59" s="43"/>
      <c r="AE59" s="43"/>
      <c r="AF59" s="43"/>
      <c r="AG59" s="43"/>
      <c r="AH59" s="43"/>
    </row>
    <row r="60" spans="1:34" x14ac:dyDescent="0.3">
      <c r="B60" s="9"/>
      <c r="C60" s="141" t="s">
        <v>276</v>
      </c>
      <c r="D60" s="47">
        <v>60</v>
      </c>
      <c r="E60" s="45"/>
      <c r="F60" s="141" t="s">
        <v>276</v>
      </c>
      <c r="G60" s="46" t="s">
        <v>35</v>
      </c>
      <c r="H60" s="47">
        <v>60</v>
      </c>
      <c r="I60" s="44"/>
      <c r="J60" s="44"/>
      <c r="K60" s="44"/>
      <c r="L60" s="44"/>
      <c r="M60" s="44"/>
      <c r="N60" s="44"/>
      <c r="O60" s="44"/>
      <c r="P60" s="44"/>
      <c r="Q60" s="43"/>
      <c r="R60" s="43"/>
      <c r="S60" s="43"/>
      <c r="T60" s="43"/>
      <c r="U60" s="43"/>
      <c r="V60" s="43"/>
      <c r="W60" s="43"/>
      <c r="X60" s="43"/>
      <c r="Y60" s="43"/>
      <c r="Z60" s="43"/>
      <c r="AA60" s="43"/>
      <c r="AB60" s="43"/>
      <c r="AC60" s="43"/>
      <c r="AD60" s="43"/>
      <c r="AE60" s="43"/>
      <c r="AF60" s="43"/>
      <c r="AG60" s="43"/>
      <c r="AH60" s="43"/>
    </row>
    <row r="61" spans="1:34" x14ac:dyDescent="0.3">
      <c r="B61" s="9"/>
      <c r="C61" s="141" t="s">
        <v>277</v>
      </c>
      <c r="D61" s="47">
        <v>40</v>
      </c>
      <c r="E61" s="45"/>
      <c r="F61" s="141" t="s">
        <v>277</v>
      </c>
      <c r="G61" s="46" t="s">
        <v>40</v>
      </c>
      <c r="H61" s="47">
        <v>40</v>
      </c>
      <c r="I61" s="44"/>
      <c r="J61" s="44"/>
      <c r="K61" s="44"/>
      <c r="L61" s="44"/>
      <c r="M61" s="44"/>
      <c r="N61" s="44"/>
      <c r="O61" s="44"/>
      <c r="P61" s="44"/>
      <c r="Q61" s="43"/>
      <c r="R61" s="43"/>
      <c r="S61" s="43"/>
      <c r="T61" s="43"/>
      <c r="U61" s="43"/>
      <c r="V61" s="43"/>
      <c r="W61" s="43"/>
      <c r="X61" s="43"/>
      <c r="Y61" s="43"/>
      <c r="Z61" s="43"/>
      <c r="AA61" s="43"/>
      <c r="AB61" s="43"/>
      <c r="AC61" s="43"/>
      <c r="AD61" s="43"/>
      <c r="AE61" s="43"/>
      <c r="AF61" s="43"/>
      <c r="AG61" s="43"/>
      <c r="AH61" s="43"/>
    </row>
    <row r="62" spans="1:34" x14ac:dyDescent="0.3">
      <c r="B62" s="9"/>
      <c r="C62" s="23"/>
      <c r="D62" s="23"/>
      <c r="E62" s="23"/>
      <c r="F62" s="23"/>
      <c r="G62" s="23"/>
      <c r="H62" s="23"/>
      <c r="I62" s="44"/>
      <c r="J62" s="44"/>
      <c r="K62" s="44"/>
      <c r="L62" s="44"/>
      <c r="M62" s="44"/>
      <c r="N62" s="44"/>
      <c r="O62" s="44"/>
      <c r="P62" s="44"/>
      <c r="Q62" s="43"/>
      <c r="R62" s="43"/>
      <c r="S62" s="43"/>
      <c r="T62" s="43"/>
      <c r="U62" s="43"/>
      <c r="V62" s="43"/>
      <c r="W62" s="43"/>
      <c r="X62" s="43"/>
      <c r="Y62" s="43"/>
      <c r="Z62" s="43"/>
      <c r="AA62" s="43"/>
      <c r="AB62" s="43"/>
      <c r="AC62" s="43"/>
      <c r="AD62" s="43"/>
      <c r="AE62" s="43"/>
      <c r="AF62" s="43"/>
      <c r="AG62" s="43"/>
      <c r="AH62" s="43"/>
    </row>
    <row r="63" spans="1:34" ht="15" thickBot="1" x14ac:dyDescent="0.35">
      <c r="B63" s="9"/>
      <c r="C63" s="44" t="s">
        <v>1</v>
      </c>
      <c r="D63" s="25" t="s">
        <v>57</v>
      </c>
      <c r="E63" s="45"/>
      <c r="F63" s="44" t="s">
        <v>1</v>
      </c>
      <c r="G63" s="44" t="s">
        <v>32</v>
      </c>
      <c r="H63" s="25" t="s">
        <v>58</v>
      </c>
      <c r="I63" s="44"/>
      <c r="J63" s="44"/>
      <c r="K63" s="44"/>
      <c r="L63" s="44"/>
      <c r="M63" s="44"/>
      <c r="N63" s="44"/>
      <c r="O63" s="44"/>
      <c r="P63" s="44"/>
      <c r="Q63" s="43"/>
      <c r="R63" s="43"/>
      <c r="S63" s="43"/>
      <c r="T63" s="43"/>
      <c r="U63" s="43"/>
      <c r="V63" s="43"/>
      <c r="W63" s="43"/>
      <c r="X63" s="43"/>
      <c r="Y63" s="43"/>
      <c r="Z63" s="43"/>
      <c r="AA63" s="43"/>
      <c r="AB63" s="43"/>
      <c r="AC63" s="43"/>
      <c r="AD63" s="43"/>
      <c r="AE63" s="43"/>
      <c r="AF63" s="43"/>
      <c r="AG63" s="43"/>
      <c r="AH63" s="43"/>
    </row>
    <row r="64" spans="1:34" ht="15.6" thickTop="1" thickBot="1" x14ac:dyDescent="0.35">
      <c r="B64" s="9"/>
      <c r="C64" s="52" t="s">
        <v>320</v>
      </c>
      <c r="D64" s="53">
        <f>COUNTIF(C50:C61,C64)</f>
        <v>3</v>
      </c>
      <c r="E64" s="45"/>
      <c r="F64" s="52" t="s">
        <v>4</v>
      </c>
      <c r="G64" s="52" t="s">
        <v>38</v>
      </c>
      <c r="H64" s="48">
        <f>COUNTIFS(F50:F61,F64,G50:G61,G64)</f>
        <v>2</v>
      </c>
      <c r="I64" s="44"/>
      <c r="J64" s="44"/>
      <c r="K64" s="44"/>
      <c r="L64" s="44"/>
      <c r="M64" s="44"/>
      <c r="N64" s="44"/>
      <c r="O64" s="44"/>
      <c r="P64" s="44"/>
      <c r="Q64" s="43"/>
      <c r="R64" s="43"/>
      <c r="S64" s="43"/>
      <c r="T64" s="43"/>
      <c r="U64" s="43"/>
      <c r="V64" s="43"/>
      <c r="W64" s="43"/>
      <c r="X64" s="43"/>
      <c r="Y64" s="43"/>
      <c r="Z64" s="43"/>
      <c r="AA64" s="43"/>
      <c r="AB64" s="43"/>
      <c r="AC64" s="43"/>
      <c r="AD64" s="43"/>
      <c r="AE64" s="43"/>
      <c r="AF64" s="43"/>
      <c r="AG64" s="43"/>
      <c r="AH64" s="43"/>
    </row>
    <row r="65" spans="2:34" ht="15" thickTop="1" x14ac:dyDescent="0.3">
      <c r="B65" s="9"/>
      <c r="C65" s="44"/>
      <c r="D65" s="44"/>
      <c r="E65" s="45"/>
      <c r="F65" s="44"/>
      <c r="G65" s="44"/>
      <c r="H65" s="44"/>
      <c r="I65" s="44"/>
      <c r="J65" s="44"/>
      <c r="K65" s="44"/>
      <c r="L65" s="44"/>
      <c r="M65" s="44"/>
      <c r="N65" s="44"/>
      <c r="O65" s="44"/>
      <c r="P65" s="44"/>
      <c r="Q65" s="43"/>
      <c r="R65" s="43"/>
      <c r="S65" s="43"/>
      <c r="T65" s="43"/>
      <c r="U65" s="43"/>
      <c r="V65" s="43"/>
      <c r="W65" s="43"/>
      <c r="X65" s="43"/>
      <c r="Y65" s="43"/>
      <c r="Z65" s="43"/>
      <c r="AA65" s="43"/>
      <c r="AB65" s="43"/>
      <c r="AC65" s="43"/>
      <c r="AD65" s="43"/>
      <c r="AE65" s="43"/>
      <c r="AF65" s="43"/>
      <c r="AG65" s="43"/>
      <c r="AH65" s="43"/>
    </row>
    <row r="66" spans="2:34" x14ac:dyDescent="0.3">
      <c r="B66" s="9"/>
      <c r="C66" s="1"/>
      <c r="D66" s="1"/>
      <c r="E66" s="1"/>
      <c r="F66" s="1"/>
      <c r="G66" s="1"/>
      <c r="H66" s="1"/>
      <c r="I66" s="44"/>
      <c r="J66" s="44"/>
      <c r="K66" s="44"/>
      <c r="L66" s="44"/>
      <c r="M66" s="44"/>
      <c r="N66" s="44"/>
      <c r="O66" s="44"/>
      <c r="P66" s="44"/>
      <c r="Q66" s="43"/>
      <c r="R66" s="43"/>
      <c r="S66" s="43"/>
      <c r="T66" s="43"/>
      <c r="U66" s="43"/>
      <c r="V66" s="43"/>
      <c r="W66" s="43"/>
      <c r="X66" s="43"/>
      <c r="Y66" s="43"/>
      <c r="Z66" s="43"/>
      <c r="AA66" s="43"/>
      <c r="AB66" s="43"/>
      <c r="AC66" s="43"/>
      <c r="AD66" s="43"/>
      <c r="AE66" s="43"/>
      <c r="AF66" s="43"/>
      <c r="AG66" s="43"/>
      <c r="AH66" s="43"/>
    </row>
    <row r="67" spans="2:34" x14ac:dyDescent="0.3">
      <c r="B67" s="9"/>
      <c r="C67" s="1"/>
      <c r="D67" s="1"/>
      <c r="E67" s="1"/>
      <c r="F67" s="1"/>
      <c r="G67" s="1"/>
      <c r="H67" s="1"/>
      <c r="I67" s="44"/>
      <c r="J67" s="44"/>
      <c r="K67" s="44"/>
      <c r="L67" s="44"/>
      <c r="M67" s="44"/>
      <c r="N67" s="44"/>
      <c r="O67" s="44"/>
      <c r="P67" s="44"/>
      <c r="Q67" s="43"/>
      <c r="R67" s="43"/>
      <c r="S67" s="43"/>
      <c r="T67" s="43"/>
      <c r="U67" s="43"/>
      <c r="V67" s="43"/>
      <c r="W67" s="43"/>
      <c r="X67" s="43"/>
      <c r="Y67" s="43"/>
      <c r="Z67" s="43"/>
      <c r="AA67" s="43"/>
      <c r="AB67" s="43"/>
      <c r="AC67" s="43"/>
      <c r="AD67" s="43"/>
      <c r="AE67" s="43"/>
      <c r="AF67" s="43"/>
      <c r="AG67" s="43"/>
      <c r="AH67" s="43"/>
    </row>
    <row r="68" spans="2:34" x14ac:dyDescent="0.3">
      <c r="B68" s="9"/>
      <c r="C68" s="1"/>
      <c r="D68" s="1"/>
      <c r="E68" s="1"/>
      <c r="F68" s="1"/>
      <c r="G68" s="1"/>
      <c r="H68" s="1"/>
      <c r="I68" s="44"/>
      <c r="J68" s="44"/>
      <c r="K68" s="44"/>
      <c r="L68" s="44"/>
      <c r="M68" s="44"/>
      <c r="N68" s="44"/>
      <c r="O68" s="44"/>
      <c r="P68" s="44"/>
      <c r="Q68" s="43"/>
      <c r="R68" s="43"/>
      <c r="S68" s="43"/>
      <c r="T68" s="43"/>
      <c r="U68" s="43"/>
      <c r="V68" s="43"/>
      <c r="W68" s="43"/>
      <c r="X68" s="43"/>
      <c r="Y68" s="43"/>
      <c r="Z68" s="43"/>
      <c r="AA68" s="43"/>
      <c r="AB68" s="43"/>
      <c r="AC68" s="43"/>
      <c r="AD68" s="43"/>
      <c r="AE68" s="43"/>
      <c r="AF68" s="43"/>
      <c r="AG68" s="43"/>
      <c r="AH68" s="43"/>
    </row>
    <row r="69" spans="2:34" x14ac:dyDescent="0.3">
      <c r="B69" s="9"/>
      <c r="C69" s="1"/>
      <c r="D69" s="1"/>
      <c r="E69" s="1"/>
      <c r="F69" s="1"/>
      <c r="G69" s="1"/>
      <c r="H69" s="1"/>
      <c r="I69" s="44"/>
      <c r="J69" s="44"/>
      <c r="K69" s="44"/>
      <c r="L69" s="44"/>
      <c r="M69" s="44"/>
      <c r="N69" s="44"/>
      <c r="O69" s="44"/>
      <c r="P69" s="44"/>
      <c r="Q69" s="43"/>
      <c r="R69" s="43"/>
      <c r="S69" s="43"/>
      <c r="T69" s="43"/>
      <c r="U69" s="43"/>
      <c r="V69" s="43"/>
      <c r="W69" s="43"/>
      <c r="X69" s="43"/>
      <c r="Y69" s="43"/>
      <c r="Z69" s="43"/>
      <c r="AA69" s="43"/>
      <c r="AB69" s="43"/>
      <c r="AC69" s="43"/>
      <c r="AD69" s="43"/>
      <c r="AE69" s="43"/>
      <c r="AF69" s="43"/>
      <c r="AG69" s="43"/>
      <c r="AH69" s="43"/>
    </row>
    <row r="70" spans="2:34" x14ac:dyDescent="0.3">
      <c r="B70" s="9"/>
      <c r="C70" s="1"/>
      <c r="D70" s="1"/>
      <c r="E70" s="1"/>
      <c r="F70" s="1"/>
      <c r="G70" s="1"/>
      <c r="H70" s="1"/>
      <c r="I70" s="44"/>
      <c r="J70" s="44"/>
      <c r="K70" s="44"/>
      <c r="L70" s="44"/>
      <c r="M70" s="44"/>
      <c r="N70" s="44"/>
      <c r="O70" s="44"/>
      <c r="P70" s="44"/>
      <c r="Q70" s="43"/>
      <c r="R70" s="43"/>
      <c r="S70" s="43"/>
      <c r="T70" s="43"/>
      <c r="U70" s="43"/>
      <c r="V70" s="43"/>
      <c r="W70" s="43"/>
      <c r="X70" s="43"/>
      <c r="Y70" s="43"/>
      <c r="Z70" s="43"/>
      <c r="AA70" s="43"/>
      <c r="AB70" s="43"/>
      <c r="AC70" s="43"/>
      <c r="AD70" s="43"/>
      <c r="AE70" s="43"/>
      <c r="AF70" s="43"/>
      <c r="AG70" s="43"/>
      <c r="AH70" s="43"/>
    </row>
    <row r="71" spans="2:34" x14ac:dyDescent="0.3">
      <c r="B71" s="9"/>
      <c r="C71" s="1"/>
      <c r="D71" s="1"/>
      <c r="E71" s="1"/>
      <c r="F71" s="1"/>
      <c r="G71" s="1"/>
      <c r="H71" s="1"/>
      <c r="I71" s="44"/>
      <c r="J71" s="44"/>
      <c r="K71" s="44"/>
      <c r="L71" s="44"/>
      <c r="M71" s="44"/>
      <c r="N71" s="44"/>
      <c r="O71" s="44"/>
      <c r="P71" s="44"/>
      <c r="Q71" s="43"/>
      <c r="R71" s="43"/>
      <c r="S71" s="43"/>
      <c r="T71" s="43"/>
      <c r="U71" s="43"/>
      <c r="V71" s="43"/>
      <c r="W71" s="43"/>
      <c r="X71" s="43"/>
      <c r="Y71" s="43"/>
      <c r="Z71" s="43"/>
      <c r="AA71" s="43"/>
      <c r="AB71" s="43"/>
      <c r="AC71" s="43"/>
      <c r="AD71" s="43"/>
      <c r="AE71" s="43"/>
      <c r="AF71" s="43"/>
      <c r="AG71" s="43"/>
      <c r="AH71" s="43"/>
    </row>
    <row r="72" spans="2:34" x14ac:dyDescent="0.3">
      <c r="B72" s="9"/>
      <c r="C72" s="1"/>
      <c r="D72" s="1"/>
      <c r="E72" s="1"/>
      <c r="F72" s="1"/>
      <c r="G72" s="1"/>
      <c r="H72" s="1"/>
      <c r="I72" s="44"/>
      <c r="J72" s="44"/>
      <c r="K72" s="44"/>
      <c r="L72" s="44"/>
      <c r="M72" s="44"/>
      <c r="N72" s="44"/>
      <c r="O72" s="44"/>
      <c r="P72" s="44"/>
      <c r="Q72" s="43"/>
      <c r="R72" s="43"/>
      <c r="S72" s="43"/>
      <c r="T72" s="43"/>
      <c r="U72" s="43"/>
      <c r="V72" s="43"/>
      <c r="W72" s="43"/>
      <c r="X72" s="43"/>
      <c r="Y72" s="43"/>
      <c r="Z72" s="43"/>
      <c r="AA72" s="43"/>
      <c r="AB72" s="43"/>
      <c r="AC72" s="43"/>
      <c r="AD72" s="43"/>
      <c r="AE72" s="43"/>
      <c r="AF72" s="43"/>
      <c r="AG72" s="43"/>
      <c r="AH72" s="43"/>
    </row>
    <row r="73" spans="2:34" x14ac:dyDescent="0.3">
      <c r="B73" s="9"/>
      <c r="C73" s="1"/>
      <c r="D73" s="1"/>
      <c r="E73" s="1"/>
      <c r="F73" s="1"/>
      <c r="G73" s="1"/>
      <c r="H73" s="1"/>
      <c r="I73" s="44"/>
      <c r="J73" s="44"/>
      <c r="K73" s="44"/>
      <c r="L73" s="44"/>
      <c r="M73" s="44"/>
      <c r="N73" s="44"/>
      <c r="O73" s="44"/>
      <c r="P73" s="44"/>
      <c r="Q73" s="43"/>
      <c r="R73" s="43"/>
      <c r="S73" s="43"/>
      <c r="T73" s="43"/>
      <c r="U73" s="43"/>
      <c r="V73" s="43"/>
      <c r="W73" s="43"/>
      <c r="X73" s="43"/>
      <c r="Y73" s="43"/>
      <c r="Z73" s="43"/>
      <c r="AA73" s="43"/>
      <c r="AB73" s="43"/>
      <c r="AC73" s="43"/>
      <c r="AD73" s="43"/>
      <c r="AE73" s="43"/>
      <c r="AF73" s="43"/>
      <c r="AG73" s="43"/>
      <c r="AH73" s="43"/>
    </row>
    <row r="74" spans="2:34" x14ac:dyDescent="0.3">
      <c r="B74" s="9"/>
      <c r="C74" s="1"/>
      <c r="D74" s="1"/>
      <c r="E74" s="1"/>
      <c r="F74" s="1"/>
      <c r="G74" s="1"/>
      <c r="H74" s="1"/>
      <c r="I74" s="44"/>
      <c r="J74" s="44"/>
      <c r="K74" s="44"/>
      <c r="L74" s="44"/>
      <c r="M74" s="44"/>
      <c r="N74" s="44"/>
      <c r="O74" s="44"/>
      <c r="P74" s="44"/>
      <c r="Q74" s="43"/>
      <c r="R74" s="43"/>
      <c r="S74" s="43"/>
      <c r="T74" s="43"/>
      <c r="U74" s="43"/>
      <c r="V74" s="43"/>
      <c r="W74" s="43"/>
      <c r="X74" s="43"/>
      <c r="Y74" s="43"/>
      <c r="Z74" s="43"/>
      <c r="AA74" s="43"/>
      <c r="AB74" s="43"/>
      <c r="AC74" s="43"/>
      <c r="AD74" s="43"/>
      <c r="AE74" s="43"/>
      <c r="AF74" s="43"/>
      <c r="AG74" s="43"/>
      <c r="AH74" s="43"/>
    </row>
    <row r="75" spans="2:34" x14ac:dyDescent="0.3">
      <c r="B75" s="9"/>
      <c r="C75" s="1"/>
      <c r="D75" s="1"/>
      <c r="E75" s="1"/>
      <c r="F75" s="1"/>
      <c r="G75" s="1"/>
      <c r="H75" s="1"/>
      <c r="I75" s="44"/>
      <c r="J75" s="44"/>
      <c r="K75" s="44"/>
      <c r="L75" s="44"/>
      <c r="M75" s="44"/>
      <c r="N75" s="44"/>
      <c r="O75" s="44"/>
      <c r="P75" s="44"/>
      <c r="Q75" s="43"/>
      <c r="R75" s="43"/>
      <c r="S75" s="43"/>
      <c r="T75" s="43"/>
      <c r="U75" s="43"/>
      <c r="V75" s="43"/>
      <c r="W75" s="43"/>
      <c r="X75" s="43"/>
      <c r="Y75" s="43"/>
      <c r="Z75" s="43"/>
      <c r="AA75" s="43"/>
      <c r="AB75" s="43"/>
      <c r="AC75" s="43"/>
      <c r="AD75" s="43"/>
      <c r="AE75" s="43"/>
      <c r="AF75" s="43"/>
      <c r="AG75" s="43"/>
      <c r="AH75" s="43"/>
    </row>
    <row r="76" spans="2:34" x14ac:dyDescent="0.3">
      <c r="B76" s="9"/>
      <c r="C76" s="1"/>
      <c r="D76" s="1"/>
      <c r="E76" s="1"/>
      <c r="F76" s="1"/>
      <c r="G76" s="1"/>
      <c r="H76" s="1"/>
      <c r="I76" s="44"/>
      <c r="J76" s="44"/>
      <c r="K76" s="44"/>
      <c r="L76" s="44"/>
      <c r="M76" s="44"/>
      <c r="N76" s="44"/>
      <c r="O76" s="44"/>
      <c r="P76" s="44"/>
      <c r="Q76" s="43"/>
      <c r="R76" s="43"/>
      <c r="S76" s="43"/>
      <c r="T76" s="43"/>
      <c r="U76" s="43"/>
      <c r="V76" s="43"/>
      <c r="W76" s="43"/>
      <c r="X76" s="43"/>
      <c r="Y76" s="43"/>
      <c r="Z76" s="43"/>
      <c r="AA76" s="43"/>
      <c r="AB76" s="43"/>
      <c r="AC76" s="43"/>
      <c r="AD76" s="43"/>
      <c r="AE76" s="43"/>
      <c r="AF76" s="43"/>
      <c r="AG76" s="43"/>
      <c r="AH76" s="43"/>
    </row>
    <row r="77" spans="2:34" x14ac:dyDescent="0.3">
      <c r="B77" s="9"/>
      <c r="C77" s="1"/>
      <c r="D77" s="1"/>
      <c r="E77" s="1"/>
      <c r="F77" s="1"/>
      <c r="G77" s="1"/>
      <c r="H77" s="1"/>
      <c r="I77" s="44"/>
      <c r="J77" s="44"/>
      <c r="K77" s="44"/>
      <c r="L77" s="44"/>
      <c r="M77" s="44"/>
      <c r="N77" s="44"/>
      <c r="O77" s="44"/>
      <c r="P77" s="44"/>
      <c r="Q77" s="43"/>
      <c r="R77" s="43"/>
      <c r="S77" s="43"/>
      <c r="T77" s="43"/>
      <c r="U77" s="43"/>
      <c r="V77" s="43"/>
      <c r="W77" s="43"/>
      <c r="X77" s="43"/>
      <c r="Y77" s="43"/>
      <c r="Z77" s="43"/>
      <c r="AA77" s="43"/>
      <c r="AB77" s="43"/>
      <c r="AC77" s="43"/>
      <c r="AD77" s="43"/>
      <c r="AE77" s="43"/>
      <c r="AF77" s="43"/>
      <c r="AG77" s="43"/>
      <c r="AH77" s="43"/>
    </row>
    <row r="78" spans="2:34" x14ac:dyDescent="0.3">
      <c r="B78" s="9"/>
      <c r="C78" s="1"/>
      <c r="D78" s="1"/>
      <c r="E78" s="1"/>
      <c r="F78" s="1"/>
      <c r="G78" s="1"/>
      <c r="H78" s="1"/>
      <c r="I78" s="44"/>
      <c r="J78" s="44"/>
      <c r="K78" s="44"/>
      <c r="L78" s="44"/>
      <c r="M78" s="44"/>
      <c r="N78" s="44"/>
      <c r="O78" s="44"/>
      <c r="P78" s="44"/>
      <c r="Q78" s="43"/>
      <c r="R78" s="43"/>
      <c r="S78" s="43"/>
      <c r="T78" s="43"/>
      <c r="U78" s="43"/>
      <c r="V78" s="43"/>
      <c r="W78" s="43"/>
      <c r="X78" s="43"/>
      <c r="Y78" s="43"/>
      <c r="Z78" s="43"/>
      <c r="AA78" s="43"/>
      <c r="AB78" s="43"/>
      <c r="AC78" s="43"/>
      <c r="AD78" s="43"/>
      <c r="AE78" s="43"/>
      <c r="AF78" s="43"/>
      <c r="AG78" s="43"/>
      <c r="AH78" s="43"/>
    </row>
    <row r="79" spans="2:34" x14ac:dyDescent="0.3">
      <c r="B79" s="9"/>
      <c r="C79" s="1"/>
      <c r="D79" s="1"/>
      <c r="E79" s="1"/>
      <c r="F79" s="1"/>
      <c r="G79" s="1"/>
      <c r="H79" s="1"/>
      <c r="I79" s="44"/>
      <c r="J79" s="44"/>
      <c r="K79" s="44"/>
      <c r="L79" s="44"/>
      <c r="M79" s="44"/>
      <c r="N79" s="44"/>
      <c r="O79" s="44"/>
      <c r="P79" s="44"/>
      <c r="Q79" s="43"/>
      <c r="R79" s="43"/>
      <c r="S79" s="43"/>
      <c r="T79" s="43"/>
      <c r="U79" s="43"/>
      <c r="V79" s="43"/>
      <c r="W79" s="43"/>
      <c r="X79" s="43"/>
      <c r="Y79" s="43"/>
      <c r="Z79" s="43"/>
      <c r="AA79" s="43"/>
      <c r="AB79" s="43"/>
      <c r="AC79" s="43"/>
      <c r="AD79" s="43"/>
      <c r="AE79" s="43"/>
      <c r="AF79" s="43"/>
      <c r="AG79" s="43"/>
      <c r="AH79" s="43"/>
    </row>
    <row r="80" spans="2:34" x14ac:dyDescent="0.3">
      <c r="B80" s="9"/>
      <c r="C80" s="1"/>
      <c r="D80" s="1"/>
      <c r="E80" s="1"/>
      <c r="F80" s="1"/>
      <c r="G80" s="1"/>
      <c r="H80" s="1"/>
      <c r="I80" s="44"/>
      <c r="J80" s="44"/>
      <c r="K80" s="44"/>
      <c r="L80" s="44"/>
      <c r="M80" s="44"/>
      <c r="N80" s="44"/>
      <c r="O80" s="44"/>
      <c r="P80" s="44"/>
      <c r="Q80" s="43"/>
      <c r="R80" s="43"/>
      <c r="S80" s="43"/>
      <c r="T80" s="43"/>
      <c r="U80" s="43"/>
      <c r="V80" s="43"/>
      <c r="W80" s="43"/>
      <c r="X80" s="43"/>
      <c r="Y80" s="43"/>
      <c r="Z80" s="43"/>
      <c r="AA80" s="43"/>
      <c r="AB80" s="43"/>
      <c r="AC80" s="43"/>
      <c r="AD80" s="43"/>
      <c r="AE80" s="43"/>
      <c r="AF80" s="43"/>
      <c r="AG80" s="43"/>
      <c r="AH80" s="43"/>
    </row>
    <row r="81" spans="2:34" x14ac:dyDescent="0.3">
      <c r="B81" s="9"/>
      <c r="C81" s="1"/>
      <c r="D81" s="1"/>
      <c r="E81" s="1"/>
      <c r="F81" s="1"/>
      <c r="G81" s="1"/>
      <c r="H81" s="1"/>
      <c r="I81" s="44"/>
      <c r="J81" s="44"/>
      <c r="K81" s="44"/>
      <c r="L81" s="44"/>
      <c r="M81" s="44"/>
      <c r="N81" s="44"/>
      <c r="O81" s="44"/>
      <c r="P81" s="44"/>
      <c r="Q81" s="43"/>
      <c r="R81" s="43"/>
      <c r="S81" s="43"/>
      <c r="T81" s="43"/>
      <c r="U81" s="43"/>
      <c r="V81" s="43"/>
      <c r="W81" s="43"/>
      <c r="X81" s="43"/>
      <c r="Y81" s="43"/>
      <c r="Z81" s="43"/>
      <c r="AA81" s="43"/>
      <c r="AB81" s="43"/>
      <c r="AC81" s="43"/>
      <c r="AD81" s="43"/>
      <c r="AE81" s="43"/>
      <c r="AF81" s="43"/>
      <c r="AG81" s="43"/>
      <c r="AH81" s="43"/>
    </row>
    <row r="82" spans="2:34" x14ac:dyDescent="0.3">
      <c r="B82" s="9"/>
      <c r="F82" s="44"/>
      <c r="G82" s="44"/>
      <c r="H82" s="44"/>
      <c r="I82" s="44"/>
      <c r="J82" s="44"/>
      <c r="K82" s="44"/>
      <c r="L82" s="44"/>
      <c r="M82" s="44"/>
      <c r="N82" s="44"/>
      <c r="O82" s="44"/>
      <c r="P82" s="44"/>
      <c r="Q82" s="43"/>
      <c r="R82" s="43"/>
      <c r="S82" s="43"/>
      <c r="T82" s="43"/>
      <c r="U82" s="43"/>
      <c r="V82" s="43"/>
      <c r="W82" s="43"/>
      <c r="X82" s="43"/>
      <c r="Y82" s="43"/>
      <c r="Z82" s="43"/>
      <c r="AA82" s="43"/>
      <c r="AB82" s="43"/>
      <c r="AC82" s="43"/>
      <c r="AD82" s="43"/>
      <c r="AE82" s="43"/>
      <c r="AF82" s="43"/>
      <c r="AG82" s="43"/>
      <c r="AH82" s="43"/>
    </row>
    <row r="83" spans="2:34" x14ac:dyDescent="0.3">
      <c r="B83" s="9"/>
      <c r="F83" s="44"/>
      <c r="G83" s="44"/>
      <c r="H83" s="44"/>
      <c r="I83" s="44"/>
      <c r="J83" s="44"/>
      <c r="K83" s="44"/>
      <c r="L83" s="44"/>
      <c r="M83" s="44"/>
      <c r="N83" s="44"/>
      <c r="O83" s="44"/>
      <c r="P83" s="44"/>
      <c r="Q83" s="43"/>
      <c r="R83" s="43"/>
      <c r="S83" s="43"/>
      <c r="T83" s="43"/>
      <c r="U83" s="43"/>
      <c r="V83" s="43"/>
      <c r="W83" s="43"/>
      <c r="X83" s="43"/>
      <c r="Y83" s="43"/>
      <c r="Z83" s="43"/>
      <c r="AA83" s="43"/>
      <c r="AB83" s="43"/>
      <c r="AC83" s="43"/>
      <c r="AD83" s="43"/>
      <c r="AE83" s="43"/>
      <c r="AF83" s="43"/>
      <c r="AG83" s="43"/>
      <c r="AH83" s="43"/>
    </row>
    <row r="84" spans="2:34" x14ac:dyDescent="0.3">
      <c r="B84" s="9"/>
      <c r="F84" s="44"/>
      <c r="G84" s="44"/>
      <c r="H84" s="44"/>
      <c r="I84" s="44"/>
      <c r="J84" s="44"/>
      <c r="K84" s="44"/>
      <c r="L84" s="44"/>
      <c r="M84" s="44"/>
      <c r="N84" s="44"/>
      <c r="O84" s="44"/>
      <c r="P84" s="44"/>
      <c r="Q84" s="43"/>
      <c r="R84" s="43"/>
      <c r="S84" s="43"/>
      <c r="T84" s="43"/>
      <c r="U84" s="43"/>
      <c r="V84" s="43"/>
      <c r="W84" s="43"/>
      <c r="X84" s="43"/>
      <c r="Y84" s="43"/>
      <c r="Z84" s="43"/>
      <c r="AA84" s="43"/>
      <c r="AB84" s="43"/>
      <c r="AC84" s="43"/>
      <c r="AD84" s="43"/>
      <c r="AE84" s="43"/>
      <c r="AF84" s="43"/>
      <c r="AG84" s="43"/>
      <c r="AH84" s="43"/>
    </row>
    <row r="85" spans="2:34" x14ac:dyDescent="0.3">
      <c r="B85" s="9"/>
      <c r="F85" s="44"/>
      <c r="G85" s="44"/>
      <c r="H85" s="44"/>
      <c r="I85" s="44"/>
      <c r="J85" s="44"/>
      <c r="K85" s="44"/>
      <c r="L85" s="44"/>
      <c r="M85" s="44"/>
      <c r="N85" s="44"/>
      <c r="O85" s="44"/>
      <c r="P85" s="44"/>
      <c r="Q85" s="43"/>
      <c r="R85" s="43"/>
      <c r="S85" s="43"/>
      <c r="T85" s="43"/>
      <c r="U85" s="43"/>
      <c r="V85" s="43"/>
      <c r="W85" s="43"/>
      <c r="X85" s="43"/>
      <c r="Y85" s="43"/>
      <c r="Z85" s="43"/>
      <c r="AA85" s="43"/>
      <c r="AB85" s="43"/>
      <c r="AC85" s="43"/>
      <c r="AD85" s="43"/>
      <c r="AE85" s="43"/>
      <c r="AF85" s="43"/>
      <c r="AG85" s="43"/>
      <c r="AH85" s="43"/>
    </row>
    <row r="86" spans="2:34" x14ac:dyDescent="0.3">
      <c r="B86" s="9"/>
      <c r="F86" s="44"/>
      <c r="G86" s="44"/>
      <c r="H86" s="44"/>
      <c r="I86" s="44"/>
      <c r="J86" s="44"/>
      <c r="K86" s="44"/>
      <c r="L86" s="44"/>
      <c r="M86" s="44"/>
      <c r="N86" s="44"/>
      <c r="O86" s="44"/>
      <c r="P86" s="44"/>
      <c r="Q86" s="43"/>
      <c r="R86" s="43"/>
      <c r="S86" s="43"/>
      <c r="T86" s="43"/>
      <c r="U86" s="43"/>
      <c r="V86" s="43"/>
      <c r="W86" s="43"/>
      <c r="X86" s="43"/>
      <c r="Y86" s="43"/>
      <c r="Z86" s="43"/>
      <c r="AA86" s="43"/>
      <c r="AB86" s="43"/>
      <c r="AC86" s="43"/>
      <c r="AD86" s="43"/>
      <c r="AE86" s="43"/>
      <c r="AF86" s="43"/>
      <c r="AG86" s="43"/>
      <c r="AH86" s="43"/>
    </row>
    <row r="87" spans="2:34" x14ac:dyDescent="0.3">
      <c r="B87" s="9"/>
      <c r="F87" s="44"/>
      <c r="G87" s="44"/>
      <c r="H87" s="44"/>
      <c r="I87" s="44"/>
      <c r="J87" s="44"/>
      <c r="K87" s="44"/>
      <c r="L87" s="44"/>
      <c r="M87" s="44"/>
      <c r="N87" s="44"/>
      <c r="O87" s="44"/>
      <c r="P87" s="44"/>
      <c r="Q87" s="43"/>
      <c r="R87" s="43"/>
      <c r="S87" s="43"/>
      <c r="T87" s="43"/>
      <c r="U87" s="43"/>
      <c r="V87" s="43"/>
      <c r="W87" s="43"/>
      <c r="X87" s="43"/>
      <c r="Y87" s="43"/>
      <c r="Z87" s="43"/>
      <c r="AA87" s="43"/>
      <c r="AB87" s="43"/>
      <c r="AC87" s="43"/>
      <c r="AD87" s="43"/>
      <c r="AE87" s="43"/>
      <c r="AF87" s="43"/>
      <c r="AG87" s="43"/>
      <c r="AH87" s="43"/>
    </row>
    <row r="88" spans="2:34" x14ac:dyDescent="0.3">
      <c r="B88" s="9"/>
      <c r="F88" s="44"/>
      <c r="G88" s="44"/>
      <c r="H88" s="44"/>
      <c r="I88" s="44"/>
      <c r="J88" s="44"/>
      <c r="K88" s="44"/>
      <c r="L88" s="44"/>
      <c r="M88" s="44"/>
      <c r="N88" s="44"/>
      <c r="O88" s="44"/>
      <c r="P88" s="44"/>
      <c r="Q88" s="43"/>
      <c r="R88" s="43"/>
      <c r="S88" s="43"/>
      <c r="T88" s="43"/>
      <c r="U88" s="43"/>
      <c r="V88" s="43"/>
      <c r="W88" s="43"/>
      <c r="X88" s="43"/>
      <c r="Y88" s="43"/>
      <c r="Z88" s="43"/>
      <c r="AA88" s="43"/>
      <c r="AB88" s="43"/>
      <c r="AC88" s="43"/>
      <c r="AD88" s="43"/>
      <c r="AE88" s="43"/>
      <c r="AF88" s="43"/>
      <c r="AG88" s="43"/>
      <c r="AH88" s="43"/>
    </row>
    <row r="89" spans="2:34" x14ac:dyDescent="0.3">
      <c r="B89" s="9"/>
      <c r="F89" s="44"/>
      <c r="G89" s="44"/>
      <c r="H89" s="44"/>
      <c r="I89" s="44"/>
      <c r="J89" s="44"/>
      <c r="K89" s="44"/>
      <c r="L89" s="44"/>
      <c r="M89" s="44"/>
      <c r="N89" s="44"/>
      <c r="O89" s="44"/>
      <c r="P89" s="44"/>
      <c r="Q89" s="43"/>
      <c r="R89" s="43"/>
      <c r="S89" s="43"/>
      <c r="T89" s="43"/>
      <c r="U89" s="43"/>
      <c r="V89" s="43"/>
      <c r="W89" s="43"/>
      <c r="X89" s="43"/>
      <c r="Y89" s="43"/>
      <c r="Z89" s="43"/>
      <c r="AA89" s="43"/>
      <c r="AB89" s="43"/>
      <c r="AC89" s="43"/>
      <c r="AD89" s="43"/>
      <c r="AE89" s="43"/>
      <c r="AF89" s="43"/>
      <c r="AG89" s="43"/>
      <c r="AH89" s="43"/>
    </row>
    <row r="90" spans="2:34" ht="15" customHeight="1" x14ac:dyDescent="0.3">
      <c r="B90" s="9"/>
      <c r="F90" s="43"/>
      <c r="G90" s="43"/>
      <c r="H90" s="43"/>
      <c r="I90" s="43"/>
      <c r="J90" s="44"/>
      <c r="K90" s="44"/>
      <c r="L90" s="43"/>
      <c r="M90" s="43"/>
      <c r="N90" s="44"/>
      <c r="O90" s="43"/>
      <c r="P90" s="43"/>
      <c r="Q90" s="43"/>
      <c r="R90" s="43"/>
      <c r="S90" s="43"/>
      <c r="T90" s="43"/>
      <c r="U90" s="43"/>
      <c r="V90" s="43"/>
      <c r="W90" s="43"/>
      <c r="X90" s="43"/>
      <c r="Y90" s="43"/>
      <c r="Z90" s="43"/>
      <c r="AA90" s="43"/>
      <c r="AB90" s="43"/>
      <c r="AC90" s="43"/>
      <c r="AD90" s="43"/>
      <c r="AE90" s="43"/>
      <c r="AF90" s="43"/>
      <c r="AG90" s="43"/>
      <c r="AH90" s="43"/>
    </row>
    <row r="91" spans="2:34" ht="15" customHeight="1" x14ac:dyDescent="0.3">
      <c r="B91" s="9"/>
      <c r="C91" s="7" t="s">
        <v>322</v>
      </c>
      <c r="D91" s="7" t="s">
        <v>32</v>
      </c>
      <c r="E91" s="8" t="s">
        <v>324</v>
      </c>
      <c r="F91" s="43"/>
      <c r="G91" s="43"/>
      <c r="H91" s="43"/>
      <c r="I91" s="43"/>
      <c r="J91" s="44"/>
      <c r="K91" s="44"/>
      <c r="L91" s="43"/>
      <c r="M91" s="43"/>
      <c r="N91" s="44"/>
      <c r="O91" s="43"/>
      <c r="P91" s="43"/>
      <c r="Q91" s="43"/>
      <c r="R91" s="43"/>
      <c r="S91" s="43"/>
      <c r="T91" s="43"/>
      <c r="U91" s="43"/>
      <c r="V91" s="43"/>
      <c r="W91" s="43"/>
      <c r="X91" s="43"/>
      <c r="Y91" s="43"/>
      <c r="Z91" s="43"/>
      <c r="AA91" s="43"/>
      <c r="AB91" s="43"/>
      <c r="AC91" s="43"/>
      <c r="AD91" s="43"/>
      <c r="AE91" s="43"/>
      <c r="AF91" s="43"/>
      <c r="AG91" s="43"/>
      <c r="AH91" s="43"/>
    </row>
    <row r="92" spans="2:34" ht="15" customHeight="1" x14ac:dyDescent="0.3">
      <c r="B92" s="9"/>
      <c r="C92" s="141" t="s">
        <v>320</v>
      </c>
      <c r="D92" s="46" t="s">
        <v>33</v>
      </c>
      <c r="E92" s="47">
        <v>50</v>
      </c>
      <c r="F92" s="43"/>
      <c r="G92" s="43"/>
      <c r="H92" s="43"/>
      <c r="I92" s="43"/>
      <c r="J92" s="43"/>
      <c r="K92" s="43"/>
      <c r="L92" s="43"/>
      <c r="M92" s="43"/>
      <c r="N92" s="43"/>
      <c r="O92" s="43"/>
      <c r="P92" s="43"/>
      <c r="Q92" s="43"/>
      <c r="R92" s="43"/>
      <c r="S92" s="43"/>
      <c r="T92" s="43"/>
      <c r="U92" s="43"/>
      <c r="V92" s="43"/>
      <c r="W92" s="43"/>
      <c r="X92" s="43"/>
      <c r="Y92" s="43"/>
      <c r="Z92" s="43"/>
      <c r="AA92" s="43"/>
      <c r="AB92" s="43"/>
      <c r="AC92" s="43"/>
      <c r="AD92" s="43"/>
      <c r="AE92" s="43"/>
      <c r="AF92" s="43"/>
      <c r="AG92" s="43"/>
      <c r="AH92" s="43"/>
    </row>
    <row r="93" spans="2:34" ht="15" customHeight="1" x14ac:dyDescent="0.3">
      <c r="B93" s="9"/>
      <c r="C93" s="46" t="s">
        <v>4</v>
      </c>
      <c r="D93" s="46" t="s">
        <v>34</v>
      </c>
      <c r="E93" s="47">
        <v>20</v>
      </c>
      <c r="F93" s="43"/>
      <c r="G93" s="43"/>
      <c r="H93" s="43"/>
      <c r="I93" s="43"/>
      <c r="J93" s="43"/>
      <c r="K93" s="43"/>
      <c r="L93" s="43"/>
      <c r="M93" s="43"/>
      <c r="N93" s="43"/>
      <c r="O93" s="43"/>
      <c r="P93" s="43"/>
      <c r="Q93" s="43"/>
      <c r="R93" s="43"/>
      <c r="S93" s="43"/>
      <c r="T93" s="43"/>
      <c r="U93" s="43"/>
      <c r="V93" s="43"/>
      <c r="W93" s="43"/>
      <c r="X93" s="43"/>
      <c r="Y93" s="43"/>
      <c r="Z93" s="43"/>
      <c r="AA93" s="43"/>
      <c r="AB93" s="43"/>
      <c r="AC93" s="43"/>
      <c r="AD93" s="43"/>
      <c r="AE93" s="43"/>
      <c r="AF93" s="43"/>
      <c r="AG93" s="43"/>
      <c r="AH93" s="43"/>
    </row>
    <row r="94" spans="2:34" ht="15" customHeight="1" x14ac:dyDescent="0.3">
      <c r="B94" s="9"/>
      <c r="C94" s="141" t="s">
        <v>276</v>
      </c>
      <c r="D94" s="46" t="s">
        <v>35</v>
      </c>
      <c r="E94" s="47">
        <v>60</v>
      </c>
      <c r="H94" s="44"/>
      <c r="I94" s="44"/>
      <c r="J94" s="44"/>
      <c r="K94" s="44"/>
      <c r="L94" s="43"/>
      <c r="M94" s="43"/>
      <c r="N94" s="43"/>
      <c r="O94" s="43"/>
      <c r="P94" s="43"/>
      <c r="Q94" s="43"/>
      <c r="R94" s="43"/>
      <c r="S94" s="43"/>
      <c r="T94" s="43"/>
      <c r="U94" s="43"/>
      <c r="V94" s="43"/>
      <c r="W94" s="43"/>
      <c r="X94" s="43"/>
      <c r="Y94" s="43"/>
      <c r="Z94" s="43"/>
      <c r="AA94" s="43"/>
      <c r="AB94" s="43"/>
      <c r="AC94" s="43"/>
      <c r="AD94" s="43"/>
      <c r="AE94" s="43"/>
      <c r="AF94" s="43"/>
      <c r="AG94" s="43"/>
      <c r="AH94" s="43"/>
    </row>
    <row r="95" spans="2:34" ht="15" customHeight="1" x14ac:dyDescent="0.3">
      <c r="B95" s="9"/>
      <c r="C95" s="141" t="s">
        <v>277</v>
      </c>
      <c r="D95" s="46" t="s">
        <v>36</v>
      </c>
      <c r="E95" s="47">
        <v>40</v>
      </c>
      <c r="H95" s="44"/>
      <c r="I95" s="44"/>
      <c r="J95" s="44"/>
      <c r="K95" s="44"/>
      <c r="L95" s="43"/>
      <c r="M95" s="43"/>
      <c r="N95" s="43"/>
      <c r="O95" s="43"/>
      <c r="P95" s="43"/>
      <c r="Q95" s="43"/>
      <c r="R95" s="43"/>
      <c r="S95" s="43"/>
      <c r="T95" s="43"/>
      <c r="U95" s="43"/>
      <c r="V95" s="43"/>
      <c r="W95" s="43"/>
      <c r="X95" s="43"/>
      <c r="Y95" s="43"/>
      <c r="Z95" s="43"/>
      <c r="AA95" s="43"/>
      <c r="AB95" s="43"/>
      <c r="AC95" s="43"/>
      <c r="AD95" s="43"/>
      <c r="AE95" s="43"/>
      <c r="AF95" s="43"/>
      <c r="AG95" s="43"/>
      <c r="AH95" s="43"/>
    </row>
    <row r="96" spans="2:34" ht="15" customHeight="1" x14ac:dyDescent="0.3">
      <c r="B96" s="9"/>
      <c r="C96" s="141" t="s">
        <v>320</v>
      </c>
      <c r="D96" s="46" t="s">
        <v>37</v>
      </c>
      <c r="E96" s="47">
        <v>50</v>
      </c>
      <c r="H96" s="43"/>
      <c r="I96" s="43"/>
      <c r="J96" s="43"/>
      <c r="K96" s="43"/>
      <c r="L96" s="43"/>
      <c r="M96" s="43"/>
      <c r="N96" s="43"/>
      <c r="O96" s="43"/>
      <c r="P96" s="43"/>
      <c r="Q96" s="43"/>
      <c r="R96" s="43"/>
      <c r="S96" s="43"/>
      <c r="T96" s="43"/>
      <c r="U96" s="43"/>
      <c r="V96" s="43"/>
      <c r="W96" s="43"/>
      <c r="X96" s="43"/>
      <c r="Y96" s="43"/>
      <c r="Z96" s="43"/>
      <c r="AA96" s="43"/>
      <c r="AB96" s="43"/>
      <c r="AC96" s="43"/>
      <c r="AD96" s="43"/>
      <c r="AE96" s="43"/>
      <c r="AF96" s="43"/>
      <c r="AG96" s="43"/>
      <c r="AH96" s="43"/>
    </row>
    <row r="97" spans="2:34" x14ac:dyDescent="0.3">
      <c r="B97" s="9"/>
      <c r="C97" s="46" t="s">
        <v>4</v>
      </c>
      <c r="D97" s="46" t="s">
        <v>38</v>
      </c>
      <c r="E97" s="47">
        <v>20</v>
      </c>
      <c r="H97" s="43"/>
      <c r="I97" s="43"/>
      <c r="J97" s="43"/>
      <c r="K97" s="43"/>
      <c r="L97" s="43"/>
      <c r="M97" s="43"/>
      <c r="N97" s="43"/>
      <c r="O97" s="43"/>
      <c r="P97" s="43"/>
      <c r="Q97" s="43"/>
      <c r="R97" s="43"/>
      <c r="S97" s="43"/>
      <c r="T97" s="43"/>
      <c r="U97" s="43"/>
      <c r="V97" s="43"/>
      <c r="W97" s="43"/>
      <c r="X97" s="43"/>
      <c r="Y97" s="43"/>
      <c r="Z97" s="43"/>
      <c r="AA97" s="43"/>
      <c r="AB97" s="43"/>
      <c r="AC97" s="43"/>
      <c r="AD97" s="43"/>
      <c r="AE97" s="43"/>
      <c r="AF97" s="43"/>
      <c r="AG97" s="43"/>
      <c r="AH97" s="43"/>
    </row>
    <row r="98" spans="2:34" x14ac:dyDescent="0.3">
      <c r="B98" s="9"/>
      <c r="C98" s="141" t="s">
        <v>276</v>
      </c>
      <c r="D98" s="46" t="s">
        <v>39</v>
      </c>
      <c r="E98" s="47">
        <v>60</v>
      </c>
      <c r="H98" s="43"/>
      <c r="I98" s="43"/>
      <c r="J98" s="43"/>
      <c r="K98" s="43"/>
      <c r="L98" s="43"/>
      <c r="M98" s="43"/>
      <c r="N98" s="43"/>
      <c r="O98" s="43"/>
      <c r="P98" s="43"/>
      <c r="Q98" s="43"/>
      <c r="R98" s="43"/>
      <c r="S98" s="43"/>
      <c r="T98" s="43"/>
      <c r="U98" s="43"/>
      <c r="V98" s="43"/>
      <c r="W98" s="43"/>
      <c r="X98" s="43"/>
      <c r="Y98" s="43"/>
      <c r="Z98" s="43"/>
      <c r="AA98" s="43"/>
      <c r="AB98" s="43"/>
      <c r="AC98" s="43"/>
      <c r="AD98" s="43"/>
      <c r="AE98" s="43"/>
      <c r="AF98" s="43"/>
      <c r="AG98" s="43"/>
      <c r="AH98" s="43"/>
    </row>
    <row r="99" spans="2:34" x14ac:dyDescent="0.3">
      <c r="B99" s="9"/>
      <c r="C99" s="141" t="s">
        <v>277</v>
      </c>
      <c r="D99" s="46" t="s">
        <v>40</v>
      </c>
      <c r="E99" s="47">
        <v>40</v>
      </c>
      <c r="H99" s="43"/>
      <c r="I99" s="43"/>
      <c r="J99" s="43"/>
      <c r="K99" s="43"/>
      <c r="L99" s="43"/>
      <c r="M99" s="43"/>
      <c r="N99" s="43"/>
      <c r="O99" s="43"/>
      <c r="P99" s="43"/>
      <c r="Q99" s="43"/>
      <c r="R99" s="43"/>
      <c r="S99" s="43"/>
      <c r="T99" s="43"/>
      <c r="U99" s="43"/>
      <c r="V99" s="43"/>
      <c r="W99" s="43"/>
      <c r="X99" s="43"/>
      <c r="Y99" s="43"/>
      <c r="Z99" s="43"/>
      <c r="AA99" s="43"/>
      <c r="AB99" s="43"/>
      <c r="AC99" s="43"/>
      <c r="AD99" s="43"/>
      <c r="AE99" s="43"/>
      <c r="AF99" s="43"/>
      <c r="AG99" s="43"/>
      <c r="AH99" s="43"/>
    </row>
    <row r="100" spans="2:34" x14ac:dyDescent="0.3">
      <c r="B100" s="9"/>
      <c r="C100" s="141" t="s">
        <v>320</v>
      </c>
      <c r="D100" s="46" t="s">
        <v>37</v>
      </c>
      <c r="E100" s="47">
        <v>50</v>
      </c>
      <c r="H100" s="43"/>
      <c r="I100" s="43"/>
      <c r="J100" s="43"/>
      <c r="K100" s="43"/>
      <c r="L100" s="43"/>
      <c r="M100" s="43"/>
      <c r="N100" s="43"/>
      <c r="O100" s="43"/>
      <c r="P100" s="43"/>
      <c r="Q100" s="43"/>
      <c r="R100" s="43"/>
      <c r="S100" s="43"/>
      <c r="T100" s="43"/>
      <c r="U100" s="43"/>
      <c r="V100" s="43"/>
      <c r="W100" s="43"/>
      <c r="X100" s="43"/>
      <c r="Y100" s="43"/>
      <c r="Z100" s="43"/>
      <c r="AA100" s="43"/>
      <c r="AB100" s="43"/>
      <c r="AC100" s="43"/>
      <c r="AD100" s="43"/>
      <c r="AE100" s="43"/>
      <c r="AF100" s="43"/>
      <c r="AG100" s="43"/>
      <c r="AH100" s="43"/>
    </row>
    <row r="101" spans="2:34" x14ac:dyDescent="0.3">
      <c r="B101" s="9"/>
      <c r="C101" s="46" t="s">
        <v>4</v>
      </c>
      <c r="D101" s="46" t="s">
        <v>38</v>
      </c>
      <c r="E101" s="47">
        <v>20</v>
      </c>
      <c r="F101" s="43"/>
      <c r="G101" s="43"/>
    </row>
    <row r="102" spans="2:34" ht="15" customHeight="1" x14ac:dyDescent="0.3">
      <c r="B102" s="9"/>
      <c r="C102" s="141" t="s">
        <v>276</v>
      </c>
      <c r="D102" s="46" t="s">
        <v>35</v>
      </c>
      <c r="E102" s="47">
        <v>60</v>
      </c>
      <c r="F102" s="43"/>
      <c r="G102" s="43"/>
    </row>
    <row r="103" spans="2:34" ht="15" customHeight="1" x14ac:dyDescent="0.3">
      <c r="B103" s="9"/>
      <c r="C103" s="141" t="s">
        <v>277</v>
      </c>
      <c r="D103" s="46" t="s">
        <v>40</v>
      </c>
      <c r="E103" s="47">
        <v>40</v>
      </c>
      <c r="F103" s="43"/>
      <c r="G103" s="43"/>
    </row>
    <row r="104" spans="2:34" ht="15" customHeight="1" x14ac:dyDescent="0.3">
      <c r="B104" s="9"/>
      <c r="C104" s="44"/>
      <c r="D104" s="44"/>
      <c r="E104" s="45"/>
    </row>
    <row r="105" spans="2:34" ht="15" customHeight="1" thickBot="1" x14ac:dyDescent="0.35">
      <c r="B105" s="9"/>
      <c r="C105" s="44" t="s">
        <v>1</v>
      </c>
      <c r="D105" s="44" t="s">
        <v>32</v>
      </c>
      <c r="E105" s="25" t="s">
        <v>56</v>
      </c>
    </row>
    <row r="106" spans="2:34" ht="15" customHeight="1" thickTop="1" thickBot="1" x14ac:dyDescent="0.35">
      <c r="B106" s="9"/>
      <c r="C106" s="52" t="s">
        <v>277</v>
      </c>
      <c r="D106" s="52" t="s">
        <v>40</v>
      </c>
      <c r="E106" s="48">
        <f>SUMIFS(E92:E103,C92:C103,C106,D92:D103,D106)</f>
        <v>80</v>
      </c>
    </row>
    <row r="107" spans="2:34" ht="15" customHeight="1" thickTop="1" x14ac:dyDescent="0.3">
      <c r="B107" s="9"/>
      <c r="E107" s="43"/>
    </row>
    <row r="108" spans="2:34" x14ac:dyDescent="0.3">
      <c r="E108" s="43"/>
    </row>
    <row r="109" spans="2:34" x14ac:dyDescent="0.3">
      <c r="E109" s="43"/>
    </row>
    <row r="110" spans="2:34" x14ac:dyDescent="0.3">
      <c r="E110" s="43"/>
    </row>
    <row r="117" spans="3:4" x14ac:dyDescent="0.3">
      <c r="C117" s="37" t="s">
        <v>321</v>
      </c>
      <c r="D117" s="7" t="s">
        <v>291</v>
      </c>
    </row>
    <row r="118" spans="3:4" x14ac:dyDescent="0.3">
      <c r="C118" s="142" t="s">
        <v>282</v>
      </c>
      <c r="D118" s="13">
        <v>50</v>
      </c>
    </row>
    <row r="119" spans="3:4" x14ac:dyDescent="0.3">
      <c r="C119" s="142" t="s">
        <v>285</v>
      </c>
      <c r="D119" s="13">
        <v>100</v>
      </c>
    </row>
    <row r="120" spans="3:4" x14ac:dyDescent="0.3">
      <c r="C120" s="143" t="s">
        <v>8</v>
      </c>
      <c r="D120" s="13">
        <v>40</v>
      </c>
    </row>
    <row r="121" spans="3:4" x14ac:dyDescent="0.3">
      <c r="C121" s="142" t="s">
        <v>284</v>
      </c>
      <c r="D121" s="13">
        <v>50</v>
      </c>
    </row>
    <row r="122" spans="3:4" ht="15" thickBot="1" x14ac:dyDescent="0.35">
      <c r="C122" s="142" t="s">
        <v>283</v>
      </c>
      <c r="D122" s="13">
        <v>20</v>
      </c>
    </row>
    <row r="123" spans="3:4" ht="15.6" thickTop="1" thickBot="1" x14ac:dyDescent="0.35">
      <c r="C123" s="57"/>
      <c r="D123" s="58">
        <f>SUMIF(D118:D122,"&gt;=50")</f>
        <v>200</v>
      </c>
    </row>
    <row r="124" spans="3:4" ht="15" thickTop="1" x14ac:dyDescent="0.3"/>
  </sheetData>
  <dataValidations count="4">
    <dataValidation type="list" allowBlank="1" showInputMessage="1" showErrorMessage="1" sqref="F81 C34 C81 F34" xr:uid="{00000000-0002-0000-0900-000000000000}">
      <formula1>lst_Fruit</formula1>
    </dataValidation>
    <dataValidation type="list" allowBlank="1" showInputMessage="1" showErrorMessage="1" sqref="G17 G34 D106 G64 G81" xr:uid="{00000000-0002-0000-0900-000001000000}">
      <formula1>INDIRECT(C17)</formula1>
    </dataValidation>
    <dataValidation type="list" allowBlank="1" showInputMessage="1" showErrorMessage="1" sqref="C17 F17" xr:uid="{9FC4D0E8-59CB-411C-A7CE-BDD39D1002CA}">
      <formula1>$C$3:$C$14</formula1>
    </dataValidation>
    <dataValidation type="list" allowBlank="1" showInputMessage="1" showErrorMessage="1" sqref="C64 F64 C106" xr:uid="{E081532B-42ED-49E9-8797-FE73EFA3EB10}">
      <formula1>"Pommes,Oranges,Bananes,Citrons"</formula1>
    </dataValidation>
  </dataValidations>
  <pageMargins left="0.7" right="0.7" top="0.75" bottom="0.75" header="0.3" footer="0.3"/>
  <pageSetup orientation="portrait" r:id="rId1"/>
  <drawing r:id="rId2"/>
  <tableParts count="5">
    <tablePart r:id="rId3"/>
    <tablePart r:id="rId4"/>
    <tablePart r:id="rId5"/>
    <tablePart r:id="rId6"/>
    <tablePart r:id="rId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D14"/>
  <sheetViews>
    <sheetView showGridLines="0" workbookViewId="0">
      <selection activeCell="K17" sqref="K17"/>
    </sheetView>
  </sheetViews>
  <sheetFormatPr baseColWidth="10" defaultColWidth="8.88671875" defaultRowHeight="14.4" x14ac:dyDescent="0.3"/>
  <cols>
    <col min="1" max="1" width="13" customWidth="1"/>
    <col min="2" max="2" width="88.109375" customWidth="1"/>
    <col min="3" max="4" width="13.109375" customWidth="1"/>
  </cols>
  <sheetData>
    <row r="1" spans="1:4" ht="60" customHeight="1" x14ac:dyDescent="0.3">
      <c r="A1" s="29" t="s">
        <v>211</v>
      </c>
      <c r="C1" s="76"/>
      <c r="D1" s="89"/>
    </row>
    <row r="2" spans="1:4" x14ac:dyDescent="0.3">
      <c r="A2" s="29" t="s">
        <v>212</v>
      </c>
    </row>
    <row r="3" spans="1:4" ht="15" customHeight="1" x14ac:dyDescent="0.3">
      <c r="A3" s="31" t="s">
        <v>259</v>
      </c>
    </row>
    <row r="4" spans="1:4" ht="15" customHeight="1" x14ac:dyDescent="0.3">
      <c r="A4" s="31" t="s">
        <v>241</v>
      </c>
      <c r="C4" s="37" t="s">
        <v>1</v>
      </c>
      <c r="D4" s="34" t="s">
        <v>291</v>
      </c>
    </row>
    <row r="5" spans="1:4" ht="15" customHeight="1" x14ac:dyDescent="0.3">
      <c r="A5" s="31" t="s">
        <v>248</v>
      </c>
      <c r="C5" s="144" t="s">
        <v>320</v>
      </c>
      <c r="D5" s="47">
        <v>50</v>
      </c>
    </row>
    <row r="6" spans="1:4" x14ac:dyDescent="0.3">
      <c r="A6" s="29" t="s">
        <v>213</v>
      </c>
      <c r="C6" s="46" t="s">
        <v>4</v>
      </c>
      <c r="D6" s="47">
        <v>20</v>
      </c>
    </row>
    <row r="7" spans="1:4" ht="15" customHeight="1" x14ac:dyDescent="0.3">
      <c r="A7" s="31" t="s">
        <v>242</v>
      </c>
      <c r="C7" s="46" t="s">
        <v>276</v>
      </c>
      <c r="D7" s="47">
        <v>60</v>
      </c>
    </row>
    <row r="8" spans="1:4" ht="15" customHeight="1" x14ac:dyDescent="0.3">
      <c r="A8" s="29" t="s">
        <v>100</v>
      </c>
      <c r="C8" s="46" t="s">
        <v>277</v>
      </c>
      <c r="D8" s="47">
        <v>40</v>
      </c>
    </row>
    <row r="9" spans="1:4" ht="15" customHeight="1" thickBot="1" x14ac:dyDescent="0.35">
      <c r="A9" s="29" t="s">
        <v>101</v>
      </c>
      <c r="C9" s="44"/>
      <c r="D9" s="44"/>
    </row>
    <row r="10" spans="1:4" ht="15.6" thickTop="1" thickBot="1" x14ac:dyDescent="0.35">
      <c r="A10" s="29" t="s">
        <v>18</v>
      </c>
      <c r="C10" s="60" t="s">
        <v>320</v>
      </c>
      <c r="D10" s="48">
        <f>VLOOKUP(C10,C5:D8,2,FALSE)</f>
        <v>50</v>
      </c>
    </row>
    <row r="11" spans="1:4" ht="15" thickTop="1" x14ac:dyDescent="0.3">
      <c r="A11" s="29" t="s">
        <v>103</v>
      </c>
    </row>
    <row r="12" spans="1:4" x14ac:dyDescent="0.3">
      <c r="A12" s="29" t="s">
        <v>214</v>
      </c>
    </row>
    <row r="13" spans="1:4" x14ac:dyDescent="0.3">
      <c r="A13" s="29" t="s">
        <v>215</v>
      </c>
    </row>
    <row r="14" spans="1:4" x14ac:dyDescent="0.3">
      <c r="A14" s="29" t="s">
        <v>21</v>
      </c>
    </row>
  </sheetData>
  <dataValidations count="1">
    <dataValidation type="list" allowBlank="1" showInputMessage="1" showErrorMessage="1" sqref="C10" xr:uid="{00000000-0002-0000-0A00-000000000000}">
      <formula1>$C$5:$C$8</formula1>
    </dataValidation>
  </dataValidation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D37"/>
  <sheetViews>
    <sheetView showGridLines="0" topLeftCell="A39" workbookViewId="0">
      <selection activeCell="J50" sqref="J50"/>
    </sheetView>
  </sheetViews>
  <sheetFormatPr baseColWidth="10" defaultColWidth="8.88671875" defaultRowHeight="14.4" x14ac:dyDescent="0.3"/>
  <cols>
    <col min="1" max="1" width="13" customWidth="1"/>
    <col min="2" max="2" width="82.88671875" customWidth="1"/>
    <col min="3" max="4" width="13.33203125" customWidth="1"/>
  </cols>
  <sheetData>
    <row r="1" spans="1:4" ht="60" customHeight="1" x14ac:dyDescent="0.3">
      <c r="A1" s="29" t="s">
        <v>216</v>
      </c>
      <c r="C1" s="76"/>
      <c r="D1" s="94"/>
    </row>
    <row r="2" spans="1:4" ht="15" customHeight="1" x14ac:dyDescent="0.3">
      <c r="A2" s="29" t="s">
        <v>217</v>
      </c>
      <c r="C2" s="93"/>
      <c r="D2" s="93"/>
    </row>
    <row r="3" spans="1:4" x14ac:dyDescent="0.3">
      <c r="A3" s="29" t="s">
        <v>218</v>
      </c>
      <c r="C3" s="37" t="s">
        <v>1</v>
      </c>
      <c r="D3" s="34" t="s">
        <v>2</v>
      </c>
    </row>
    <row r="4" spans="1:4" x14ac:dyDescent="0.3">
      <c r="A4" s="29" t="s">
        <v>219</v>
      </c>
      <c r="C4" s="146" t="s">
        <v>320</v>
      </c>
      <c r="D4" s="145">
        <v>50</v>
      </c>
    </row>
    <row r="5" spans="1:4" x14ac:dyDescent="0.3">
      <c r="A5" s="29" t="s">
        <v>220</v>
      </c>
      <c r="C5" s="147" t="s">
        <v>4</v>
      </c>
      <c r="D5" s="145">
        <v>20</v>
      </c>
    </row>
    <row r="6" spans="1:4" x14ac:dyDescent="0.3">
      <c r="A6" s="29" t="s">
        <v>221</v>
      </c>
      <c r="C6" s="147" t="s">
        <v>276</v>
      </c>
      <c r="D6" s="145">
        <v>60</v>
      </c>
    </row>
    <row r="7" spans="1:4" ht="15" customHeight="1" x14ac:dyDescent="0.3">
      <c r="A7" s="31" t="s">
        <v>243</v>
      </c>
      <c r="C7" s="147" t="s">
        <v>277</v>
      </c>
      <c r="D7" s="145">
        <v>40</v>
      </c>
    </row>
    <row r="8" spans="1:4" ht="15" thickBot="1" x14ac:dyDescent="0.35">
      <c r="A8" s="29" t="s">
        <v>100</v>
      </c>
      <c r="C8" s="44"/>
      <c r="D8" s="44"/>
    </row>
    <row r="9" spans="1:4" ht="15.6" thickTop="1" thickBot="1" x14ac:dyDescent="0.35">
      <c r="A9" s="29" t="s">
        <v>101</v>
      </c>
      <c r="C9" s="92" t="s">
        <v>5</v>
      </c>
      <c r="D9" s="48" t="e">
        <f>VLOOKUP(C9,C3:D7,2,FALSE)</f>
        <v>#N/A</v>
      </c>
    </row>
    <row r="10" spans="1:4" ht="15" thickTop="1" x14ac:dyDescent="0.3">
      <c r="A10" s="29" t="s">
        <v>18</v>
      </c>
    </row>
    <row r="11" spans="1:4" x14ac:dyDescent="0.3">
      <c r="A11" s="29" t="s">
        <v>222</v>
      </c>
    </row>
    <row r="12" spans="1:4" x14ac:dyDescent="0.3">
      <c r="A12" s="29" t="s">
        <v>223</v>
      </c>
    </row>
    <row r="13" spans="1:4" x14ac:dyDescent="0.3">
      <c r="A13" s="29" t="s">
        <v>224</v>
      </c>
    </row>
    <row r="14" spans="1:4" x14ac:dyDescent="0.3">
      <c r="A14" s="29" t="s">
        <v>21</v>
      </c>
    </row>
    <row r="30" spans="3:4" x14ac:dyDescent="0.3">
      <c r="C30" s="37" t="s">
        <v>1</v>
      </c>
      <c r="D30" s="34" t="s">
        <v>2</v>
      </c>
    </row>
    <row r="31" spans="3:4" x14ac:dyDescent="0.3">
      <c r="C31" s="112" t="s">
        <v>3</v>
      </c>
      <c r="D31" s="113">
        <v>50</v>
      </c>
    </row>
    <row r="32" spans="3:4" x14ac:dyDescent="0.3">
      <c r="C32" s="112" t="s">
        <v>4</v>
      </c>
      <c r="D32" s="113">
        <v>20</v>
      </c>
    </row>
    <row r="33" spans="3:4" x14ac:dyDescent="0.3">
      <c r="C33" s="112" t="s">
        <v>5</v>
      </c>
      <c r="D33" s="113">
        <v>60</v>
      </c>
    </row>
    <row r="34" spans="3:4" x14ac:dyDescent="0.3">
      <c r="C34" s="112" t="s">
        <v>6</v>
      </c>
      <c r="D34" s="113">
        <v>40</v>
      </c>
    </row>
    <row r="35" spans="3:4" ht="15" thickBot="1" x14ac:dyDescent="0.35"/>
    <row r="36" spans="3:4" ht="15.6" thickTop="1" thickBot="1" x14ac:dyDescent="0.35">
      <c r="C36" s="92" t="s">
        <v>43</v>
      </c>
      <c r="D36" s="48" t="e">
        <f ca="1">sume(D31:D34)</f>
        <v>#NAME?</v>
      </c>
    </row>
    <row r="37" spans="3:4" ht="15" thickTop="1" x14ac:dyDescent="0.3"/>
  </sheetData>
  <dataValidations count="1">
    <dataValidation type="list" allowBlank="1" showInputMessage="1" showErrorMessage="1" sqref="C9" xr:uid="{00000000-0002-0000-0B00-000000000000}">
      <formula1>$C$9:$C$36</formula1>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ws_LearnMore"/>
  <dimension ref="A1:B7"/>
  <sheetViews>
    <sheetView showGridLines="0" tabSelected="1" zoomScaleNormal="100" workbookViewId="0">
      <selection activeCell="M8" sqref="M8"/>
    </sheetView>
  </sheetViews>
  <sheetFormatPr baseColWidth="10" defaultColWidth="8.88671875" defaultRowHeight="15" customHeight="1" x14ac:dyDescent="0.3"/>
  <cols>
    <col min="1" max="1" width="8.88671875" style="9"/>
    <col min="2" max="2" width="95.109375" style="38" customWidth="1"/>
    <col min="3" max="16384" width="8.88671875" style="38"/>
  </cols>
  <sheetData>
    <row r="1" spans="1:2" ht="60" customHeight="1" x14ac:dyDescent="0.3">
      <c r="A1" s="9" t="s">
        <v>50</v>
      </c>
    </row>
    <row r="2" spans="1:2" s="39" customFormat="1" ht="15" customHeight="1" x14ac:dyDescent="0.45">
      <c r="A2" s="9" t="s">
        <v>51</v>
      </c>
      <c r="B2" s="38"/>
    </row>
    <row r="3" spans="1:2" s="39" customFormat="1" ht="15" customHeight="1" x14ac:dyDescent="0.45">
      <c r="A3" s="9" t="s">
        <v>52</v>
      </c>
      <c r="B3" s="38"/>
    </row>
    <row r="4" spans="1:2" s="40" customFormat="1" ht="15" customHeight="1" x14ac:dyDescent="0.75">
      <c r="A4" s="9" t="s">
        <v>53</v>
      </c>
      <c r="B4" s="38"/>
    </row>
    <row r="5" spans="1:2" s="41" customFormat="1" ht="15" customHeight="1" x14ac:dyDescent="0.3">
      <c r="A5" s="9" t="s">
        <v>54</v>
      </c>
      <c r="B5" s="38"/>
    </row>
    <row r="6" spans="1:2" s="41" customFormat="1" ht="15" customHeight="1" x14ac:dyDescent="0.3">
      <c r="A6" s="42" t="s">
        <v>55</v>
      </c>
      <c r="B6" s="38"/>
    </row>
    <row r="7" spans="1:2" ht="15" customHeight="1" x14ac:dyDescent="0.3">
      <c r="A7"/>
    </row>
  </sheetData>
  <hyperlinks>
    <hyperlink ref="A4" r:id="rId1" tooltip="Select to learn more about LinkedIn Learning" display="http://go.microsoft.com/fwlink/?LinkId=846285" xr:uid="{00000000-0004-0000-0C00-000000000000}"/>
    <hyperlink ref="A5" r:id="rId2" tooltip="Select to learn more about Community" display="http://go.microsoft.com/fwlink/?LinkId=844969" xr:uid="{00000000-0004-0000-0C00-000001000000}"/>
    <hyperlink ref="A6" r:id="rId3" tooltip="Select to learn more about what else is new" display="http://go.microsoft.com/fwlink/?LinkId=846286" xr:uid="{00000000-0004-0000-0C00-000002000000}"/>
  </hyperlinks>
  <pageMargins left="0.7" right="0.7" top="0.75" bottom="0.75" header="0.3" footer="0.3"/>
  <pageSetup orientation="portrait"/>
  <drawing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0" ma:contentTypeDescription="Create a new document." ma:contentTypeScope="" ma:versionID="1267097ee5f5874adfcc408041ae252e">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95891a93df65b14727750f2c06c306c"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2:Status" minOccurs="0"/>
                <xsd:element ref="ns1:_ip_UnifiedCompliancePolicyProperties" minOccurs="0"/>
                <xsd:element ref="ns1:_ip_UnifiedCompliancePolicyUIAction" minOccurs="0"/>
                <xsd:element ref="ns2:Image" minOccurs="0"/>
                <xsd:element ref="ns4:TaxCatchAll" minOccurs="0"/>
                <xsd:element ref="ns2:ImageTagsTaxHTFiel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internalName="MediaServiceOCR" ma:readOnly="true">
      <xsd:simpleType>
        <xsd:restriction base="dms:Note">
          <xsd:maxLength value="255"/>
        </xsd:restriction>
      </xsd:simpleType>
    </xsd:element>
    <xsd:element name="MediaServiceAutoTags" ma:index="11" nillable="true" ma:displayName="MediaServiceAutoTags"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fals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Status" ma:index="19" nillable="true" ma:displayName="Status" ma:default="Not started" ma:format="Dropdown" ma:internalName="Status">
      <xsd:simpleType>
        <xsd:restriction base="dms:Choice">
          <xsd:enumeration value="Not started"/>
          <xsd:enumeration value="In Progress"/>
          <xsd:enumeration value="Completed"/>
        </xsd:restriction>
      </xsd:simpleType>
    </xsd:element>
    <xsd:element name="Image" ma:index="22" nillable="true" ma:displayName="Image" ma:format="Image" ma:internalName="Image">
      <xsd:complexType>
        <xsd:complexContent>
          <xsd:extension base="dms:URL">
            <xsd:sequence>
              <xsd:element name="Url" type="dms:ValidUrl" minOccurs="0" nillable="true"/>
              <xsd:element name="Description" type="xsd:string" nillable="true"/>
            </xsd:sequence>
          </xsd:extension>
        </xsd:complexContent>
      </xsd:complex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F34BB2B-418C-4266-AED4-A95269BAF2D3}">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45D96907-3760-4A02-914D-DEDD1ED3BC1D}">
  <ds:schemaRefs>
    <ds:schemaRef ds:uri="http://schemas.microsoft.com/sharepoint/v3/contenttype/forms"/>
  </ds:schemaRefs>
</ds:datastoreItem>
</file>

<file path=customXml/itemProps3.xml><?xml version="1.0" encoding="utf-8"?>
<ds:datastoreItem xmlns:ds="http://schemas.openxmlformats.org/officeDocument/2006/customXml" ds:itemID="{1D2E9E0D-E34B-494C-9EBD-516C199D2F5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15</vt:i4>
      </vt:variant>
    </vt:vector>
  </HeadingPairs>
  <TitlesOfParts>
    <vt:vector size="28" baseType="lpstr">
      <vt:lpstr>Démarrer</vt:lpstr>
      <vt:lpstr>Les bases</vt:lpstr>
      <vt:lpstr>Introduction aux Fonctions</vt:lpstr>
      <vt:lpstr>MOYENNE</vt:lpstr>
      <vt:lpstr>MIN &amp; MAX</vt:lpstr>
      <vt:lpstr>Date &amp; Heure</vt:lpstr>
      <vt:lpstr>Joindre du texte et des nombres</vt:lpstr>
      <vt:lpstr>Instruction SI</vt:lpstr>
      <vt:lpstr>RECHERCHEV</vt:lpstr>
      <vt:lpstr>Fonctions conditionnelles</vt:lpstr>
      <vt:lpstr>Assistant Fonction</vt:lpstr>
      <vt:lpstr>Erreurs de formules</vt:lpstr>
      <vt:lpstr>Learn more</vt:lpstr>
      <vt:lpstr>Apples</vt:lpstr>
      <vt:lpstr>Bananas</vt:lpstr>
      <vt:lpstr>'Introduction aux Fonctions'!ExtraCredit</vt:lpstr>
      <vt:lpstr>'Fonctions conditionnelles'!Extraire</vt:lpstr>
      <vt:lpstr>'Introduction aux Fonctions'!Fruit</vt:lpstr>
      <vt:lpstr>'Introduction aux Fonctions'!Items</vt:lpstr>
      <vt:lpstr>Lemons</vt:lpstr>
      <vt:lpstr>lst_Fruit</vt:lpstr>
      <vt:lpstr>lst_FruitType</vt:lpstr>
      <vt:lpstr>'Introduction aux Fonctions'!Meat</vt:lpstr>
      <vt:lpstr>'Introduction aux Fonctions'!MoreFruit</vt:lpstr>
      <vt:lpstr>'Introduction aux Fonctions'!MoreItems</vt:lpstr>
      <vt:lpstr>Oranges</vt:lpstr>
      <vt:lpstr>'Introduction aux Fonctions'!SUMExtraCredit</vt:lpstr>
      <vt:lpstr>'Introduction aux Fonctions'!Total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2020-01-27T22:32:31Z</dcterms:created>
  <dcterms:modified xsi:type="dcterms:W3CDTF">2025-09-10T14:42:20Z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